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1cf5db36aef5a28/Documentos/SENAR/gamificacao-senar/public/data/"/>
    </mc:Choice>
  </mc:AlternateContent>
  <xr:revisionPtr revIDLastSave="492" documentId="13_ncr:1_{5C08037E-F4B4-4617-85CB-0A3D42525B82}" xr6:coauthVersionLast="47" xr6:coauthVersionMax="47" xr10:uidLastSave="{C8B90993-6E10-486A-9F29-F24425819877}"/>
  <bookViews>
    <workbookView xWindow="-120" yWindow="-120" windowWidth="24240" windowHeight="13140" xr2:uid="{00000000-000D-0000-FFFF-FFFF00000000}"/>
  </bookViews>
  <sheets>
    <sheet name="questoes" sheetId="1" r:id="rId1"/>
    <sheet name="Planilh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6" i="1" l="1"/>
  <c r="M97" i="1"/>
  <c r="M98" i="1"/>
  <c r="M99" i="1"/>
  <c r="M100" i="1"/>
  <c r="M101" i="1"/>
  <c r="M102" i="1"/>
  <c r="M103" i="1"/>
  <c r="M104" i="1"/>
  <c r="M105"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48" i="1"/>
  <c r="M4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2" i="1"/>
</calcChain>
</file>

<file path=xl/sharedStrings.xml><?xml version="1.0" encoding="utf-8"?>
<sst xmlns="http://schemas.openxmlformats.org/spreadsheetml/2006/main" count="2075" uniqueCount="1141">
  <si>
    <t>ID</t>
  </si>
  <si>
    <t>DISCIPLINA</t>
  </si>
  <si>
    <t>TEMA</t>
  </si>
  <si>
    <t>ENUNCIADO</t>
  </si>
  <si>
    <t>A</t>
  </si>
  <si>
    <t>B</t>
  </si>
  <si>
    <t>C</t>
  </si>
  <si>
    <t>D</t>
  </si>
  <si>
    <t>E</t>
  </si>
  <si>
    <t>GABARITO</t>
  </si>
  <si>
    <t>FEEDBACK</t>
  </si>
  <si>
    <t>FONTE</t>
  </si>
  <si>
    <t>PAGINA</t>
  </si>
  <si>
    <t>ECO_T1_001</t>
  </si>
  <si>
    <t>Economia</t>
  </si>
  <si>
    <t>Tema 1</t>
  </si>
  <si>
    <t>Introdução à Economia</t>
  </si>
  <si>
    <t>Fácil</t>
  </si>
  <si>
    <t>Uma cooperativa agrícola busca melhorar a utilização de máquinas, trabalhadores e matéria-prima para aumentar a eficiência produtiva. Segundo a Economia, qual é o objetivo principal dessa ciência?</t>
  </si>
  <si>
    <t>Eliminar totalmente a escassez.</t>
  </si>
  <si>
    <t>Controlar apenas o comércio internacional.</t>
  </si>
  <si>
    <t>Melhorar a alocação dos recursos para produção de bens e serviços.</t>
  </si>
  <si>
    <t>Produzir somente bens industriais.</t>
  </si>
  <si>
    <t>Aumentar o consumo sem planejamento.</t>
  </si>
  <si>
    <t>10-11</t>
  </si>
  <si>
    <t>ECO_T1_002</t>
  </si>
  <si>
    <t>O termo “economia” possui origem grega e pode ser traduzido como:</t>
  </si>
  <si>
    <t>Administração do lar.</t>
  </si>
  <si>
    <t>Controle da moeda.</t>
  </si>
  <si>
    <t>Planejamento tributário.</t>
  </si>
  <si>
    <t>Organização industrial.</t>
  </si>
  <si>
    <t>Administração pública.</t>
  </si>
  <si>
    <t>ECO_T1_003</t>
  </si>
  <si>
    <t>Médio</t>
  </si>
  <si>
    <t>O principal problema estudado pela Economia está relacionado:</t>
  </si>
  <si>
    <t>Ao excesso de produtos.</t>
  </si>
  <si>
    <t>À escassez dos recursos produtivos.</t>
  </si>
  <si>
    <t>À ausência de consumidores.</t>
  </si>
  <si>
    <t>À falta de tecnologia.</t>
  </si>
  <si>
    <t>Ao crescimento industrial.</t>
  </si>
  <si>
    <t>ECO_T1_004</t>
  </si>
  <si>
    <t>Qual alternativa apresenta exemplos de necessidades humanas citadas na apostila?</t>
  </si>
  <si>
    <t>Máquinas, tratores e fertilizantes.</t>
  </si>
  <si>
    <t>Alimentação, moradia e lazer.</t>
  </si>
  <si>
    <t>PIB, inflação e exportação.</t>
  </si>
  <si>
    <t>Crédito, juros e impostos.</t>
  </si>
  <si>
    <t>Comércio exterior e câmbio.</t>
  </si>
  <si>
    <t>ECO_T1_005</t>
  </si>
  <si>
    <t>Quando uma empresa define quais produtos serão fabricados e em quais quantidades, ela está respondendo à pergunta econômica:</t>
  </si>
  <si>
    <t>Como produzir?</t>
  </si>
  <si>
    <t>Para quem produzir?</t>
  </si>
  <si>
    <t>O que produzir?</t>
  </si>
  <si>
    <t>Quando produzir?</t>
  </si>
  <si>
    <t>Quanto exportar?</t>
  </si>
  <si>
    <t>ECO_T1_006</t>
  </si>
  <si>
    <t>A escolha da tecnologia utilizada por uma indústria para fabricar seus produtos está relacionada à questão econômica:</t>
  </si>
  <si>
    <t>Quanto vender?</t>
  </si>
  <si>
    <t>Quem consumir?</t>
  </si>
  <si>
    <t>O que importar?</t>
  </si>
  <si>
    <t>ECO_T1_007</t>
  </si>
  <si>
    <t>A definição do público consumidor de determinado produto está relacionada à questão econômica:</t>
  </si>
  <si>
    <t>Quanto investir?</t>
  </si>
  <si>
    <t>O que exportar?</t>
  </si>
  <si>
    <t>ECO_T1_008</t>
  </si>
  <si>
    <t>O estudo do comportamento dos consumidores e empresas em diferentes situações de mercado pertence à:</t>
  </si>
  <si>
    <t>Macroeconomia.</t>
  </si>
  <si>
    <t>Economia internacional.</t>
  </si>
  <si>
    <t>Microeconomia.</t>
  </si>
  <si>
    <t>Economia financeira.</t>
  </si>
  <si>
    <t>Economia ambiental.</t>
  </si>
  <si>
    <t>ECO_T1_009</t>
  </si>
  <si>
    <t>O Produto Interno Bruto (PIB), o nível de emprego e o sistema monetário são estudados principalmente pela:</t>
  </si>
  <si>
    <t>Administração financeira.</t>
  </si>
  <si>
    <t>Economia rural.</t>
  </si>
  <si>
    <t>Contabilidade.</t>
  </si>
  <si>
    <t>ECO_T1_010</t>
  </si>
  <si>
    <t>Classificação de bens e serviços</t>
  </si>
  <si>
    <t>Bens econômicos são aqueles que:</t>
  </si>
  <si>
    <t>Possuem oferta ilimitada.</t>
  </si>
  <si>
    <t>Não exigem trabalho humano.</t>
  </si>
  <si>
    <t>São escassos e possuem valor de mercado.</t>
  </si>
  <si>
    <t>Existem apenas no setor industrial.</t>
  </si>
  <si>
    <t>Não atendem necessidades humanas.</t>
  </si>
  <si>
    <t>11-13</t>
  </si>
  <si>
    <t>ECO_T1_011</t>
  </si>
  <si>
    <t>Qual alternativa apresenta um exemplo de bem NÃO econômico?</t>
  </si>
  <si>
    <t>Combustível.</t>
  </si>
  <si>
    <t>Geladeira.</t>
  </si>
  <si>
    <t>Ar atmosférico.</t>
  </si>
  <si>
    <t>Automóvel.</t>
  </si>
  <si>
    <t>Produto de limpeza.</t>
  </si>
  <si>
    <t>ECO_T1_012</t>
  </si>
  <si>
    <t>Produtos de limpeza e combustíveis são exemplos de:</t>
  </si>
  <si>
    <t>Bens de capital.</t>
  </si>
  <si>
    <t>Bens intermediários.</t>
  </si>
  <si>
    <t>Bens de consumo não duráveis.</t>
  </si>
  <si>
    <t>Bens imateriais.</t>
  </si>
  <si>
    <t>Bens finais duráveis.</t>
  </si>
  <si>
    <t>ECO_T1_013</t>
  </si>
  <si>
    <t>Automóveis e geladeiras são classificados como:</t>
  </si>
  <si>
    <t>Bens de consumo duráveis.</t>
  </si>
  <si>
    <t>Bens perecíveis.</t>
  </si>
  <si>
    <t>ECO_T1_014</t>
  </si>
  <si>
    <t>Em uma propriedade rural, tratores e implementos agrícolas utilizados na produção são classificados como:</t>
  </si>
  <si>
    <t>Bens finais.</t>
  </si>
  <si>
    <t>Bens de consumo.</t>
  </si>
  <si>
    <t>ECO_T1_015</t>
  </si>
  <si>
    <t>Os fertilizantes utilizados pelo agricultor para a produção de soja representam:</t>
  </si>
  <si>
    <t>Bens duráveis.</t>
  </si>
  <si>
    <t>Bens de luxo.</t>
  </si>
  <si>
    <t>ECO_T1_016</t>
  </si>
  <si>
    <t>O serviço prestado por um técnico agrícola é considerado um:</t>
  </si>
  <si>
    <t>Bem de capital.</t>
  </si>
  <si>
    <t>Bem final.</t>
  </si>
  <si>
    <t>Bem imaterial.</t>
  </si>
  <si>
    <t>Bem intermediário.</t>
  </si>
  <si>
    <t>Bem durável.</t>
  </si>
  <si>
    <t>ECO_T1_017</t>
  </si>
  <si>
    <t>Fatores de produção</t>
  </si>
  <si>
    <t>Os fatores de produção essenciais utilizados pelas empresas são:</t>
  </si>
  <si>
    <t>Mercado, moeda e impostos.</t>
  </si>
  <si>
    <t>Capital, terra e trabalho.</t>
  </si>
  <si>
    <t>Famílias, empresas e governo.</t>
  </si>
  <si>
    <t>Máquinas, sementes e fertilizantes.</t>
  </si>
  <si>
    <t>Oferta, demanda e preço.</t>
  </si>
  <si>
    <t>13-14</t>
  </si>
  <si>
    <t>ECO_T1_018</t>
  </si>
  <si>
    <t>Difícil</t>
  </si>
  <si>
    <t>Um produtor utiliza um trator para preparar o solo para o plantio de feijão. Nesse caso, o trator representa qual fator de produção?</t>
  </si>
  <si>
    <t>Trabalho.</t>
  </si>
  <si>
    <t>Terra.</t>
  </si>
  <si>
    <t>Capital.</t>
  </si>
  <si>
    <t>Moeda.</t>
  </si>
  <si>
    <t>Consumo.</t>
  </si>
  <si>
    <t>ECO_T1_019</t>
  </si>
  <si>
    <t>Florestas, recursos minerais e recursos hídricos fazem parte do fator de produção:</t>
  </si>
  <si>
    <t>Tecnologia.</t>
  </si>
  <si>
    <t>ECO_T1_020</t>
  </si>
  <si>
    <t>O esforço físico e mental necessário para realizar atividades produtivas corresponde ao fator de produção:</t>
  </si>
  <si>
    <t>Mercado.</t>
  </si>
  <si>
    <t>ECO_T1_021</t>
  </si>
  <si>
    <t>Agentes econômicos</t>
  </si>
  <si>
    <t>Quais são os agentes econômicos de uma sociedade?</t>
  </si>
  <si>
    <t>Empresas, bancos e consumidores.</t>
  </si>
  <si>
    <t>Mercado, moeda e empresas.</t>
  </si>
  <si>
    <t>Capital, trabalho e terra.</t>
  </si>
  <si>
    <t>Indústria, comércio e serviços.</t>
  </si>
  <si>
    <t>14-15</t>
  </si>
  <si>
    <t>ECO_T1_022</t>
  </si>
  <si>
    <t>Além de consumir bens e serviços, as famílias também têm a função de:</t>
  </si>
  <si>
    <t>Produzir moeda.</t>
  </si>
  <si>
    <t>Oferecer recursos produtivos às empresas.</t>
  </si>
  <si>
    <t>Fiscalizar a economia.</t>
  </si>
  <si>
    <t>Definir políticas públicas.</t>
  </si>
  <si>
    <t>Controlar exportações.</t>
  </si>
  <si>
    <t>ECO_T1_023</t>
  </si>
  <si>
    <t>A principal função das empresas em um sistema econômico é:</t>
  </si>
  <si>
    <t>Controlar a inflação.</t>
  </si>
  <si>
    <t>Produzir e comercializar bens e serviços.</t>
  </si>
  <si>
    <t>Emitir moeda.</t>
  </si>
  <si>
    <t>Fiscalizar o mercado.</t>
  </si>
  <si>
    <t>Regular importações.</t>
  </si>
  <si>
    <t>ECO_T1_024</t>
  </si>
  <si>
    <t>As ações do governo relacionadas à fiscalização da economia e provisão de moeda recebem o nome de:</t>
  </si>
  <si>
    <t>Estratégias privadas.</t>
  </si>
  <si>
    <t>Políticas públicas.</t>
  </si>
  <si>
    <t>Atividades comerciais.</t>
  </si>
  <si>
    <t>Administração empresarial.</t>
  </si>
  <si>
    <t>Políticas industriais.</t>
  </si>
  <si>
    <t>ECO_T1_025</t>
  </si>
  <si>
    <t>Cadeias produtivas do agronegócio brasileiro</t>
  </si>
  <si>
    <t>Uma cadeia produtiva pode ser definida como:</t>
  </si>
  <si>
    <t>Uma atividade industrial isolada.</t>
  </si>
  <si>
    <t>Um conjunto de operações conectadas técnica, comercial e financeiramente.</t>
  </si>
  <si>
    <t>Um sistema bancário rural.</t>
  </si>
  <si>
    <t>Um processo exclusivo da indústria.</t>
  </si>
  <si>
    <t>Uma política pública agrícola.</t>
  </si>
  <si>
    <t>15-18</t>
  </si>
  <si>
    <t>ECO_T1_026</t>
  </si>
  <si>
    <t>O estudo das cadeias produtivas do agronegócio permite analisar:</t>
  </si>
  <si>
    <t>Somente exportações.</t>
  </si>
  <si>
    <t>Apenas a produção agrícola.</t>
  </si>
  <si>
    <t>Estratégias, contratos e logística entre agentes econômicos.</t>
  </si>
  <si>
    <t>Somente preços internacionais.</t>
  </si>
  <si>
    <t>Exclusivamente impostos rurais.</t>
  </si>
  <si>
    <t>ECO_T1_027</t>
  </si>
  <si>
    <t>Qual dos grupos abaixo faz parte da estrutura-padrão das cadeias produtivas agropecuárias?</t>
  </si>
  <si>
    <t>Bolsa de valores.</t>
  </si>
  <si>
    <t>Consumidor final.</t>
  </si>
  <si>
    <t>Sistema eleitoral.</t>
  </si>
  <si>
    <t>Mercado financeiro.</t>
  </si>
  <si>
    <t>Setor de mineração.</t>
  </si>
  <si>
    <t>ECO_T1_028</t>
  </si>
  <si>
    <t>Uma cadeia produtiva desorganizada pode gerar:</t>
  </si>
  <si>
    <t>Maior satisfação do consumidor.</t>
  </si>
  <si>
    <t>Melhor fluxo de informações.</t>
  </si>
  <si>
    <t>Prejuízos aos membros da cadeia produtiva.</t>
  </si>
  <si>
    <t>Redução automática de custos.</t>
  </si>
  <si>
    <t>Maior qualidade garantida.</t>
  </si>
  <si>
    <t>ECO_T1_029</t>
  </si>
  <si>
    <t>Economia Rural</t>
  </si>
  <si>
    <t>Segundo o Ministério da Agricultura, o agronegócio envolve:</t>
  </si>
  <si>
    <t>Somente a produção agrícola.</t>
  </si>
  <si>
    <t>Da fabricação de insumos até o consumo final.</t>
  </si>
  <si>
    <t>Apenas exportações.</t>
  </si>
  <si>
    <t>Somente agroindústrias.</t>
  </si>
  <si>
    <t>Somente transporte rural.</t>
  </si>
  <si>
    <t>19-21</t>
  </si>
  <si>
    <t>ECO_T1_030</t>
  </si>
  <si>
    <t>Qual alternativa apresenta corretamente os cinco mercados do complexo agroindustrial?</t>
  </si>
  <si>
    <t>Produção, indústria, comércio, exportação e consumo.</t>
  </si>
  <si>
    <t>Suprimentos, produção, processamento, distribuição e consumo final.</t>
  </si>
  <si>
    <t>Produção, armazenagem, exportação, transporte e varejo.</t>
  </si>
  <si>
    <t>Agricultura, pecuária, indústria, logística e comércio.</t>
  </si>
  <si>
    <t>Produção, mercado interno, exportação, impostos e consumo.</t>
  </si>
  <si>
    <t>ECO_T1_031</t>
  </si>
  <si>
    <t>A necessidade de armazenagem e refrigeração da produção agropecuária está relacionada principalmente à:</t>
  </si>
  <si>
    <t>Concorrência perfeita.</t>
  </si>
  <si>
    <t>Perecibilidade dos produtos.</t>
  </si>
  <si>
    <t>Política monetária.</t>
  </si>
  <si>
    <t>Industrialização urbana.</t>
  </si>
  <si>
    <t>Importação de alimentos.</t>
  </si>
  <si>
    <t>ECO_T1_032</t>
  </si>
  <si>
    <t>O período do ano em que ocorre a produção agrícola de determinado produto recebe o nome de:</t>
  </si>
  <si>
    <t>Entressafra.</t>
  </si>
  <si>
    <t>Safra.</t>
  </si>
  <si>
    <t>Industrialização.</t>
  </si>
  <si>
    <t>Processamento.</t>
  </si>
  <si>
    <t>ECO_T1_033</t>
  </si>
  <si>
    <t>A produção agropecuária pode sofrer influência de fatores como seca, frio, doenças e pragas. Esses fatores são classificados como:</t>
  </si>
  <si>
    <t>Fatores monetários.</t>
  </si>
  <si>
    <t>Fatores climáticos e biológicos.</t>
  </si>
  <si>
    <t>Fatores industriais.</t>
  </si>
  <si>
    <t>Fatores financeiros.</t>
  </si>
  <si>
    <t>Fatores urbanos.</t>
  </si>
  <si>
    <t>ECO_T1_034</t>
  </si>
  <si>
    <t>O segmento “antes da porteira” é caracterizado principalmente por atividades relacionadas à:</t>
  </si>
  <si>
    <t>Industrialização dos produtos.</t>
  </si>
  <si>
    <t>Comercialização final.</t>
  </si>
  <si>
    <t>Aquisição de insumos e equipamentos.</t>
  </si>
  <si>
    <t>Exportação agropecuária.</t>
  </si>
  <si>
    <t>Consumo doméstico.</t>
  </si>
  <si>
    <t>ECO_T1_035</t>
  </si>
  <si>
    <t>A produção de café, carne bovina e hortaliças pertence ao segmento:</t>
  </si>
  <si>
    <t>Antes da porteira.</t>
  </si>
  <si>
    <t>Dentro da porteira.</t>
  </si>
  <si>
    <t>Depois da porteira.</t>
  </si>
  <si>
    <t>Setor financeiro.</t>
  </si>
  <si>
    <t>Mercado externo.</t>
  </si>
  <si>
    <t>ECO_T1_036</t>
  </si>
  <si>
    <t>As atividades de armazenamento, beneficiamento e transporte agropecuário pertencem ao segmento:</t>
  </si>
  <si>
    <t>Setor de insumos.</t>
  </si>
  <si>
    <t>Produção vegetal.</t>
  </si>
  <si>
    <t>ECO_T1_037</t>
  </si>
  <si>
    <t>Durante a análise de uma cadeia produtiva agroindustrial, um pesquisador observou a atuação do sistema financeiro, embalagens, transporte e associações de classe. Esses elementos são classificados como:</t>
  </si>
  <si>
    <t>Atividades de apoio da cadeia produtiva.</t>
  </si>
  <si>
    <t>Segmentos industriais finais.</t>
  </si>
  <si>
    <t>Mercados consumidores.</t>
  </si>
  <si>
    <t>Fatores de produção naturais.</t>
  </si>
  <si>
    <t>Políticas monetárias.</t>
  </si>
  <si>
    <t>ECO_T1_038</t>
  </si>
  <si>
    <t>Uma agroindústria deseja propor melhorias no crédito rural e nas políticas de extensão agrícola. O estudo mais adequado para essa análise é o das:</t>
  </si>
  <si>
    <t>Taxas cambiais.</t>
  </si>
  <si>
    <t>Cadeias produtivas do agronegócio.</t>
  </si>
  <si>
    <t>Estruturas monetárias.</t>
  </si>
  <si>
    <t>Reservas internacionais.</t>
  </si>
  <si>
    <t>Políticas industriais urbanas.</t>
  </si>
  <si>
    <t>ECO_T1_039</t>
  </si>
  <si>
    <t>Uma empresa do agronegócio precisa organizar informações sobre mercado, armazenagem e sistema de resfriamento para melhorar a distribuição de alimentos. Esses elementos pertencem principalmente ao segmento:</t>
  </si>
  <si>
    <t>Serviços de apoio.</t>
  </si>
  <si>
    <t>Produção animal.</t>
  </si>
  <si>
    <t>Extrativismo.</t>
  </si>
  <si>
    <t>ECO_T1_040</t>
  </si>
  <si>
    <t>No contexto das cadeias produtivas agroindustriais, bares, restaurantes, supermercados e hotéis pertencem ao segmento de:</t>
  </si>
  <si>
    <t>Distribuição.</t>
  </si>
  <si>
    <t>Produção rural.</t>
  </si>
  <si>
    <t>Extração mineral.</t>
  </si>
  <si>
    <t>Pesquisa científica.</t>
  </si>
  <si>
    <t>ECO_T1_041</t>
  </si>
  <si>
    <t>Em uma cadeia produtiva do agronegócio, a indústria de alimentos, bebidas, papel e fármacos pertence ao segmento:</t>
  </si>
  <si>
    <t>Produção agropecuária.</t>
  </si>
  <si>
    <t>Transformação.</t>
  </si>
  <si>
    <t>Consumo final.</t>
  </si>
  <si>
    <t>Serviços financeiros.</t>
  </si>
  <si>
    <t>ECO_T1_042</t>
  </si>
  <si>
    <t>A produção vegetal, a produção animal e o extrativismo pertencem ao segmento denominado:</t>
  </si>
  <si>
    <t>Importação.</t>
  </si>
  <si>
    <t>ECO_T1_043</t>
  </si>
  <si>
    <t>A aquisição de defensivos, fertilizantes, máquinas e equipamentos está relacionada principalmente ao segmento:</t>
  </si>
  <si>
    <t>Segmento a montante.</t>
  </si>
  <si>
    <t>Segmento varejista.</t>
  </si>
  <si>
    <t>Segmento consumidor.</t>
  </si>
  <si>
    <t>Sistema monetário.</t>
  </si>
  <si>
    <t>ECO_T1_044</t>
  </si>
  <si>
    <t>Desenvolvimento sustentável aplicado ao agronegócio</t>
  </si>
  <si>
    <t>A utilização racional dos recursos produtivos visando minimizar impactos ambientais está associada ao conceito de:</t>
  </si>
  <si>
    <t>Desenvolvimento sustentável.</t>
  </si>
  <si>
    <t>Inflação estrutural.</t>
  </si>
  <si>
    <t>Política cambial.</t>
  </si>
  <si>
    <t>21</t>
  </si>
  <si>
    <t>ECO_T1_045</t>
  </si>
  <si>
    <t>Qual dimensão da sustentabilidade enfatiza o uso responsável dos recursos naturais e a preservação ambiental?</t>
  </si>
  <si>
    <t>Dimensão cultural.</t>
  </si>
  <si>
    <t>Dimensão econômica.</t>
  </si>
  <si>
    <t>Dimensão ecológica.</t>
  </si>
  <si>
    <t>Dimensão financeira.</t>
  </si>
  <si>
    <t>Dimensão tecnológica.</t>
  </si>
  <si>
    <t>ECO_T1_046</t>
  </si>
  <si>
    <t>Segundo a apostila, o Plano Agrícola e Pecuário (PAP) possui como objetivo principal:</t>
  </si>
  <si>
    <t>Regular apenas exportações.</t>
  </si>
  <si>
    <t>Definir propostas prioritárias para o agronegócio.</t>
  </si>
  <si>
    <t>Controlar preços industriais.</t>
  </si>
  <si>
    <t>Criar impostos municipais.</t>
  </si>
  <si>
    <t>Fiscalizar supermercados.</t>
  </si>
  <si>
    <t>LETRA</t>
  </si>
  <si>
    <t>IND</t>
  </si>
  <si>
    <t>CORRETO</t>
  </si>
  <si>
    <t>CORRETO FORM</t>
  </si>
  <si>
    <t>NIVEL</t>
  </si>
  <si>
    <t>TOPICO</t>
  </si>
  <si>
    <t xml:space="preserve">A questão “o que produzir?” está relacionada à escolha dos bens e serviços que serão disponibilizados aos consumidores.  
</t>
  </si>
  <si>
    <t>A Microeconomia analisa o comportamento das famílias e empresas nas situações de mercado.  No sistema econômico, as famílias participam tanto consumindo produtos quanto oferecendo mão de obra às empresas.</t>
  </si>
  <si>
    <t>A Economia é uma ciência social que analisa os sistemas de produção de bens e serviços com o objetivo de proporcionar a melhor alocação dos recursos produtivos disponíveis para atender às necessidades da sociedade. Isso significa utilizar máquinas, trabalhadores, terra, capital e matéria-prima da forma mais eficiente possível.
Na prática, uma cooperativa agrícola precisa decidir como utilizar tratores, mão de obra, sementes e fertilizantes sem desperdícios, buscando maior produtividade e melhor resultado econômico.</t>
  </si>
  <si>
    <t xml:space="preserve">Bens de capital compõem o sistema produtivo e são utilizados para produzir outros bens. 
</t>
  </si>
  <si>
    <t xml:space="preserve">A questão “para quem produzir?” relaciona-se com a definição de quem consumirá os bens e serviços produzidos.  
</t>
  </si>
  <si>
    <t xml:space="preserve">O termo “economia” deriva das palavras gregas “oikos” (casa) e “nomos” (costume ou lei), podendo ser traduzido como “administração do lar”. A apostila destaca que a Economia estuda a atividade produtiva e a forma como os recursos são organizados para satisfazer as necessidades humanas.
Esse conceito ajuda a compreender que tanto uma família quanto uma empresa precisam administrar recursos limitados para atender suas necessidades.
</t>
  </si>
  <si>
    <t xml:space="preserve">A apostila apresenta como exemplos de necessidades humanas a alimentação, educação, moradia, vestuário, transporte, comunicação, lazer e artigos de luxo.
Essas necessidades podem ser individuais ou coletivas e são satisfeitas por meio do consumo de bens e serviços. No cotidiano, uma pessoa necessita de alimentação e moradia, mas também busca lazer, comunicação e conforto.
</t>
  </si>
  <si>
    <t xml:space="preserve">Os bens econômicos são relativamente escassos e necessitam de trabalho humano para serem obtidos.  </t>
  </si>
  <si>
    <t>O ar não é considerado um bem econômico porque possui oferta ilimitada e não requer trabalho humano para utilização. .</t>
  </si>
  <si>
    <t xml:space="preserve">Bens de consumo não duráveis são utilizados rapidamente, como alimentos, combustíveis e produtos de limpeza.  </t>
  </si>
  <si>
    <t>Tema 1: Princípios de Economia, Tópico 2: Classificação de bens e serviços. Pág. 12.</t>
  </si>
  <si>
    <t>Tema 1: Princípios de Economia, Tópico 1: Introdução à Economia, Item 2: Classificação de bens e serviços. Pág. 12.</t>
  </si>
  <si>
    <t>Tema 1: Princípios de Economia, Tópico 1: Introdução à Economia, Item1: Conceitos básicos, Pág. 10.</t>
  </si>
  <si>
    <t>Tema 1: Princípios de Economia, Tópico 1: Introdução à Economia. Pág. 10.</t>
  </si>
  <si>
    <t>Tema 1: Princípios de Economia, Tópico 1: Introdução à Economia, Item1: Conceitos básicos, Pág. 11.</t>
  </si>
  <si>
    <t>Tema 1: Princípios de Economia, Tópico 1: Introdução à Economia, Item 2: Classificação de bens e serviços. Pág. 11.</t>
  </si>
  <si>
    <t>Tema 1: Princípios de Economia, Tópico 2: Classificação de bens e serviços. Pág. 11-13.</t>
  </si>
  <si>
    <t xml:space="preserve">Bens intermediários são utilizados na produção de outros bens. </t>
  </si>
  <si>
    <t xml:space="preserve">Os bens imateriais não possuem existência física, como serviços de assistência técnica e educação. </t>
  </si>
  <si>
    <t xml:space="preserve">Os fatores de produção fundamentais são capital, terra e trabalho. 
</t>
  </si>
  <si>
    <t>Tema 1: Princípios de Economia, Tópico 3: Fatores de produção. Pág. 13-14.</t>
  </si>
  <si>
    <t xml:space="preserve">Máquinas e equipamentos utilizados no sistema produtivo são classificados como capital.  
</t>
  </si>
  <si>
    <t>O fator terra inclui todos os recursos naturais utilizados nos sistemas produtivos.</t>
  </si>
  <si>
    <t>O fator trabalho consiste na capacidade produtiva das pessoas envolvidas nos sistemas produtivos.</t>
  </si>
  <si>
    <t xml:space="preserve">Os principais agentes econômicos são famílias, empresas e governo. 
No sistema econômico, as famílias participam tanto consumindo produtos quanto oferecendo mão de obra às empresas.
</t>
  </si>
  <si>
    <t>Tema 1: Princípios de Economia, Tópico 4: Agentes econômicos. Pág. 14-15.</t>
  </si>
  <si>
    <t>]Tema 1: Princípios de Economia, Tópico 4: Agentes econômicos. Pág. 14-15.</t>
  </si>
  <si>
    <t xml:space="preserve">As famílias oferecem recursos produtivos, especialmente mão de obra, às empresas.  
No sistema econômico, as famílias participam tanto consumindo produtos quanto oferecendo mão de obra às empresas.
</t>
  </si>
  <si>
    <t xml:space="preserve">As empresas produzem e comercializam bens e serviços utilizando fatores de produção.  
</t>
  </si>
  <si>
    <t>As ações do governo voltadas ao funcionamento do sistema econômico são chamadas de políticas públicas.</t>
  </si>
  <si>
    <t>Tema 1: Princípios de Economia, Tópico 5: Cadeias produtivas do agronegócio brasileiro. Pág. 15-18.</t>
  </si>
  <si>
    <t xml:space="preserve">As cadeias produtivas envolvem operações ligadas por relações técnicas, comerciais e financeiras.  
No agronegócio, o bom relacionamento entre os agentes econômicos melhora a qualidade dos produtos e reduz desperdícios.
</t>
  </si>
  <si>
    <t xml:space="preserve">O estudo das cadeias produtivas permite analisar estratégias, contratos, logística e problemas estruturais do agronegócio. 
No agronegócio, o bom relacionamento entre os agentes econômicos melhora a qualidade dos produtos e reduz desperdícios.
</t>
  </si>
  <si>
    <t xml:space="preserve">As cadeias produtivas agropecuárias incluem indústria de insumos, produtores, agroindústria, varejo e consumidor final.  
No agronegócio, o bom relacionamento entre os agentes econômicos melhora a qualidade dos produtos e reduz desperdícios.
</t>
  </si>
  <si>
    <t xml:space="preserve">Fluxos inadequados de informações dificultam a adequação do produto aos consumidores e podem gerar prejuízos. </t>
  </si>
  <si>
    <t xml:space="preserve">O agronegócio compreende toda a cadeia produtiva, desde os insumos até o consumo final. </t>
  </si>
  <si>
    <t>Tema 1: Princípios de Economia, Tópico 6: Economia Rural. Pág. 19-21.</t>
  </si>
  <si>
    <t xml:space="preserve">O valor agregado do agronegócio passa pelos mercados de suprimentos, produção, processamento, distribuição e consumo final.  
</t>
  </si>
  <si>
    <t xml:space="preserve">A perecibilidade dos produtos agropecuários exige infraestrutura de armazenagem e refrigeração para reduzir perdas.
Por isso, frutas, verduras e carnes exigem refrigeração e armazenagem adequada para evitar perdas.
</t>
  </si>
  <si>
    <t>Fonte: Tema 1: Princípios de Economia, Tópico 6: Economia Rural. Pág. 19-21.</t>
  </si>
  <si>
    <t xml:space="preserve">A sazonalidade da produção agrícola faz com que determinadas culturas sejam produzidas em períodos específicos chamados de safra.  </t>
  </si>
  <si>
    <t xml:space="preserve">A produção agropecuária sofre forte influência de fatores climáticos e biológicos que podem comprometer produtividade e qualidade.  
Exemplos incluem a produção de café, soja, carne bovina, hortaliças e outras atividades rurais.
</t>
  </si>
  <si>
    <t xml:space="preserve">O segmento “antes da porteira” envolve sementes, fertilizantes, máquinas e demais insumos necessários à produção. </t>
  </si>
  <si>
    <t xml:space="preserve">O segmento “dentro da porteira” corresponde às atividades produtivas agropecuárias. </t>
  </si>
  <si>
    <t xml:space="preserve">O segmento “depois da porteira” é composto pelas atividades de processamento, distribuição e comercialização dos produtos agropecuários. </t>
  </si>
  <si>
    <t>As atividades de apoio das cadeias produtivas incluem sistema financeiro, embalagens, transportes, associações de classe e políticas governamentais.  
No agronegócio, o bom relacionamento entre os agentes econômicos melhora a qualidade dos produtos e reduz desperdícios.</t>
  </si>
  <si>
    <t>Tema 1: Princípios de Economia, Tópico 1: Introdução à Economia. Pág. 10-11.</t>
  </si>
  <si>
    <t>O estudo das cadeias produtivas permite analisar políticas públicas relacionadas ao setor rural, como crédito e extensão rural. 
No agronegócio, o bom relacionamento entre os agentes econômicos melhora a qualidade dos produtos e reduz desperdícios.</t>
  </si>
  <si>
    <t xml:space="preserve">Os serviços de apoio incluem armazenagem, sistema de resfriamento, transporte, informações de mercado e pesquisa.  
</t>
  </si>
  <si>
    <t xml:space="preserve">Bares, restaurantes, supermercados e hotéis fazem parte do segmento de distribuição da cadeia produtiva. 
</t>
  </si>
  <si>
    <t xml:space="preserve">As indústrias que processam matérias-primas agropecuárias pertencem ao segmento de transformação. </t>
  </si>
  <si>
    <t xml:space="preserve">Produção vegetal, produção animal e extrativismo fazem parte da produção agropecuária, segmento conhecido como dentro da porteira.  
Exemplos incluem a produção de café, soja, carne bovina, hortaliças e outras atividades rurais.
</t>
  </si>
  <si>
    <t xml:space="preserve">Os insumos utilizados antes da produção agropecuária pertencem ao segmento a montante, conhecido como antes da porteira.  
Exemplos incluem a produção de café, soja, carne bovina, hortaliças e outras atividades rurais.
</t>
  </si>
  <si>
    <t xml:space="preserve">O desenvolvimento sustentável busca utilizar os recursos de forma racional, preservando os recursos naturais e produtivos.  
</t>
  </si>
  <si>
    <t xml:space="preserve">A dimensão ecológica da sustentabilidade está relacionada ao uso racional dos recursos naturais e à preservação ambiental.  
</t>
  </si>
  <si>
    <t xml:space="preserve">O PAP estabelece propostas prioritárias para o agronegócio como setor da Economia.  
</t>
  </si>
  <si>
    <t>Tema 1: Desenvolvimento sustentável aplicado ao agronegócio. Pág. 21.</t>
  </si>
  <si>
    <t>Tema 1: Introdução ao agronegócio. Pág. 10-11.</t>
  </si>
  <si>
    <t xml:space="preserve">Bens duráveis podem ser utilizados por um longo período de tempo.  
</t>
  </si>
  <si>
    <t xml:space="preserve">A Macroeconomia estuda agregados econômicos como PIB, emprego e sistema monetário.  </t>
  </si>
  <si>
    <t>Princípios de Economia, Tópico 1: Introdução à Economia, Item1: Conceitos básicos, Pág. 11.</t>
  </si>
  <si>
    <t xml:space="preserve">A pergunta “como produzir?” refere-se ao método ou tecnologia utilizada na produção de bens e serviços.  
</t>
  </si>
  <si>
    <t xml:space="preserve">Segundo a apostila, o principal problema estudado pela Economia é a escassez dos recursos produtivos. Enquanto as necessidades humanas são ilimitadas e se renovam constantemente, os recursos disponíveis para produzir bens e serviços são limitados.
Isso pode ser observado quando famílias desejam melhorar sua qualidade de vida adquirindo novos bens, como casa, carro, roupas e serviços, mas possuem renda limitada.
</t>
  </si>
  <si>
    <t>Ouro</t>
  </si>
  <si>
    <t>Tema 2</t>
  </si>
  <si>
    <t>ECO_T2_001</t>
  </si>
  <si>
    <t>Estruturas de mercado</t>
  </si>
  <si>
    <t>Uma cooperativa de produtores de hortaliças atua em um mercado com centenas de vendedores e compradores. Os produtos comercializados possuem características semelhantes e nenhum produtor consegue influenciar individualmente os preços praticados. Essa situação caracteriza qual estrutura de mercado?</t>
  </si>
  <si>
    <t>Monopólio.</t>
  </si>
  <si>
    <t>Monopsônio.</t>
  </si>
  <si>
    <t>Oligopólio.</t>
  </si>
  <si>
    <t>Concorrência monopolística.</t>
  </si>
  <si>
    <t>Tema 2: Estudo dos Mercados, Tópico 2: Estruturas de mercado, Item: Concorrência perfeita, Pág. 28.</t>
  </si>
  <si>
    <t>Em determinada região, uma grande agroindústria é a única compradora da produção de leite de diversos pecuaristas locais. Mesmo havendo vários produtores, o preço pago pelo produto é definido exclusivamente pela empresa compradora. Essa situação representa qual estrutura de mercado?</t>
  </si>
  <si>
    <t>O monopsônio é a estrutura de mercado em que existe apenas um comprador para diversos vendedores. Nessa situação, o preço do produto ou serviço não é determinado pelos produtores, mas sim pelo único comprador. Esse cenário pode ocorrer quando uma grande empresa se torna a principal ou única demandante de determinado produto ou serviço em uma região, influenciando diretamente as condições de negociação.</t>
  </si>
  <si>
    <t>Tema 2: Estudo dos Mercados, Tópico 2: Estruturas de mercado, Item: Monopsônio, Pág. 30.</t>
  </si>
  <si>
    <t>Os setores automobilístico e de telefonia celular no Brasil apresentam poucas empresas dominando grande parte das vendas. As decisões de preço e produção adotadas por uma empresa afetam diretamente o desempenho das demais concorrentes. Essa estrutura de mercado é denominada:</t>
  </si>
  <si>
    <t>O oligopólio é caracterizado pela presença de poucas empresas que controlam a maior parcela do mercado. Uma de suas principais características é a interdependência entre as firmas, pois as decisões tomadas por uma empresa influenciam o comportamento das demais concorrentes. Além disso, as empresas possuem capacidade de afetar os preços por meio da variação do nível de produção. No Brasil, os setores automobilístico, farmacêutico e de telefonia celular são exemplos de mercados oligopolistas.</t>
  </si>
  <si>
    <t>Tema 2: Estudo dos Mercados, Tópico 2: Estruturas de mercado, Item: Oligopólio, Pág. 31.</t>
  </si>
  <si>
    <t>ECO_T2_002</t>
  </si>
  <si>
    <t>ECO_T2_003</t>
  </si>
  <si>
    <t>ECO_T2_005</t>
  </si>
  <si>
    <t>ECO_T2_006</t>
  </si>
  <si>
    <t>ECO_T2_007</t>
  </si>
  <si>
    <t>ECO_T2_008</t>
  </si>
  <si>
    <t>ECO_T2_009</t>
  </si>
  <si>
    <t>ECO_T2_010</t>
  </si>
  <si>
    <t>ECO_T2_011</t>
  </si>
  <si>
    <t>A concorrência perfeita caracteriza-se pela existência de um elevado número de compradores e vendedores, de modo que nenhum agente possui poder para influenciar os preços de mercado. Além disso, os produtos comercializados são homogêneos e funcionam como substitutos perfeitos. O preço é definido pela interação entre oferta e demanda. Os mercados agropecuários frequentemente apresentam características próximas a essa estrutura.</t>
  </si>
  <si>
    <t>Qual das alternativas apresenta um exemplo de setor econômico brasileiro que possui características típicas de oligopólio?</t>
  </si>
  <si>
    <t>Produção de hortaliças.</t>
  </si>
  <si>
    <t>Serviços de saneamento básico.</t>
  </si>
  <si>
    <t>Setor de telefonia celular.</t>
  </si>
  <si>
    <t>Comércio eletrônico de pequenos artesãos.</t>
  </si>
  <si>
    <t>Feiras livres municipais.</t>
  </si>
  <si>
    <t>Segundo a apostila, o setor de telefonia celular no Brasil é um exemplo de oligopólio, pois poucas empresas concentram a maior parte do mercado. Nessa estrutura, as empresas possuem capacidade de influenciar preços e estratégias comerciais, considerando as ações e reações das concorrentes.</t>
  </si>
  <si>
    <t>Uma das principais características do oligopólio é a interdependência entre as empresas. O que esse conceito significa?</t>
  </si>
  <si>
    <t>As empresas atuam sem considerar as ações das concorrentes.</t>
  </si>
  <si>
    <t>As empresas possuem liberdade total para definir preços sem concorrência.</t>
  </si>
  <si>
    <t>As ações de uma empresa podem afetar o desempenho das demais empresas do mercado.</t>
  </si>
  <si>
    <t>Existe apenas um comprador para diversos vendedores.</t>
  </si>
  <si>
    <t>Os produtos são sempre homogêneos e sem diferenciação.</t>
  </si>
  <si>
    <t>Na estrutura de mercado oligopolista, existe interdependência entre as firmas. Isso significa que as decisões de uma empresa, como alterar preços, aumentar a produção ou lançar novos produtos, podem afetar diretamente o desempenho das demais concorrentes. Por esse motivo, as empresas consideram constantemente as possíveis reações dos rivais antes de tomar decisões estratégicas.</t>
  </si>
  <si>
    <t>Em relação à quantidade de empresas atuantes, qual característica define corretamente um mercado oligopolista?</t>
  </si>
  <si>
    <t>Existe apenas uma empresa vendedora.</t>
  </si>
  <si>
    <t>Existem muitas empresas sem poder de influenciar preços.</t>
  </si>
  <si>
    <t>Existe apenas um comprador no mercado.</t>
  </si>
  <si>
    <t>Existem poucas empresas vendedoras controlando grande parte do mercado.</t>
  </si>
  <si>
    <t>Existem inúmeras empresas comercializando produtos homogêneos.</t>
  </si>
  <si>
    <t>O oligopólio caracteriza-se pela presença de poucas empresas vendedoras que controlam a maior parcela do mercado. Embora nenhuma delas atue como monopolista, todas possuem capacidade de influenciar o mercado e monitoram constantemente as ações das concorrentes.</t>
  </si>
  <si>
    <t>Em uma cidade, apenas uma empresa é responsável pelo fornecimento de energia elétrica para todos os consumidores locais. Não existem empresas concorrentes e a entrada de novos fornecedores é extremamente difícil devido às barreiras regulatórias e aos elevados investimentos necessários. Essa situação caracteriza qual estrutura de mercado?</t>
  </si>
  <si>
    <t>O monopólio é a estrutura de mercado caracterizada pela presença de apenas uma empresa vendedora, sem concorrentes diretos e com elevadas barreiras à entrada de novas firmas. Nessa situação, a empresa monopolista domina a oferta do mercado e os consumidores ficam sujeitos às condições estabelecidas pelo único fornecedor. Serviços de energia elétrica e saneamento básico são exemplos citados na apostila.</t>
  </si>
  <si>
    <t>Tema 2: Estudo dos Mercados, Tópico 2: Estruturas de mercado, Item: Monopólio, Pág. 30.</t>
  </si>
  <si>
    <t>Qual característica é exclusiva da estrutura de mercado denominada monopólio?</t>
  </si>
  <si>
    <t>Existência de muitos compradores e vendedores.</t>
  </si>
  <si>
    <t>Presença de produtos homogêneos e substitutos perfeitos.</t>
  </si>
  <si>
    <t>Existência de poucas empresas concorrentes.</t>
  </si>
  <si>
    <t>Presença de um único vendedor sem concorrentes diretos.</t>
  </si>
  <si>
    <t>Liberdade total para entrada e saída de empresas.</t>
  </si>
  <si>
    <t>A principal característica do monopólio é a unicidade, ou seja, existe apenas uma empresa responsável pela oferta do produto ou serviço no mercado. Além disso, há barreiras à entrada de novos concorrentes e o produto não possui substitutos próximos, permitindo que a empresa monopolista exerça grande influência sobre o mercado.</t>
  </si>
  <si>
    <t>Em um centro comercial, diversas empresas vendem sabonetes com fragrâncias, embalagens e marcas diferentes. Apesar das diferenças, os consumidores podem substituir um produto por outro conforme suas preferências. Essa situação representa qual estrutura de mercado?</t>
  </si>
  <si>
    <t>A concorrência monopolística caracteriza-se pela existência de muitas empresas atuando no mercado e pela diferenciação dos produtos. Cada empresa oferece um produto com características próprias, como marca, embalagem ou qualidade, mas os consumidores podem substituí-los por produtos semelhantes oferecidos pelos concorrentes. Os setores de sabonetes e cigarros são exemplos citados na apostila.</t>
  </si>
  <si>
    <t>Tema 2: Estudo dos Mercados, Tópico 2: Estruturas de mercado, Item: Concorrência monopolística, Pág. 32.</t>
  </si>
  <si>
    <t>Na concorrência monopolística, qual característica diferencia essa estrutura da concorrência perfeita?</t>
  </si>
  <si>
    <t>Existe apenas uma empresa atuando no mercado.</t>
  </si>
  <si>
    <t>Os produtos comercializados são diferenciados entre si.</t>
  </si>
  <si>
    <t>Não há liberdade para entrada de novas empresas.</t>
  </si>
  <si>
    <t>As empresas não competem entre si.</t>
  </si>
  <si>
    <t>A concorrência monopolística é semelhante à concorrência perfeita por apresentar muitas empresas e liberdade de entrada no mercado. No entanto, diferencia-se porque os produtos e serviços comercializados possuem características próprias, como marca, design ou qualidade, permitindo que cada empresa se destaque dos concorrentes. Apesar disso, esses produtos continuam sendo substituíveis entre si.</t>
  </si>
  <si>
    <t>Tema 3</t>
  </si>
  <si>
    <t>Análise Mercadológica de Oferta e de Demanda</t>
  </si>
  <si>
    <t>Uma estiagem prolongada reduziu significativamente a produção de milho em determinada região, enquanto o consumo do produto permaneceu inalterado. Qual situação de mercado tende a ocorrer nesse cenário?</t>
  </si>
  <si>
    <t>Excesso de oferta.</t>
  </si>
  <si>
    <t>Equilíbrio de mercado.</t>
  </si>
  <si>
    <t>Excesso de demanda.</t>
  </si>
  <si>
    <t>Redução da procura.</t>
  </si>
  <si>
    <t>Aumento da oferta.</t>
  </si>
  <si>
    <t>Quando ocorre uma redução da oferta de um produto e a demanda permanece constante, estabelece-se uma situação de excesso de demanda, também denominada escassez de oferta. Nessa situação, os consumidores desejam adquirir uma quantidade maior do que a disponível no mercado, o que tende a elevar os preços até que um novo equilíbrio seja alcançado.</t>
  </si>
  <si>
    <t>Tema 3: Teoria do Consumidor, Tópico 1: Análise Mercadológica de Oferta e de Demanda, Item: Excesso e escassez de mercado, Pág. 47.</t>
  </si>
  <si>
    <t>Em um mercado de hortaliças, a quantidade ofertada é superior à quantidade demandada em razão de uma safra excepcionalmente produtiva. Como essa situação é classificada?</t>
  </si>
  <si>
    <t>Escassez de oferta.</t>
  </si>
  <si>
    <t>Aumento da renda dos consumidores.</t>
  </si>
  <si>
    <t>O excesso de oferta ocorre quando a quantidade ofertada de um bem é maior que a quantidade demandada. Nessa situação, há sobra de produtos no mercado e os vendedores tendem a reduzir os preços para estimular as vendas e restabelecer o equilíbrio entre oferta e demanda.</t>
  </si>
  <si>
    <t>O equilíbrio de mercado é alcançado quando:</t>
  </si>
  <si>
    <t>A quantidade ofertada é maior que a quantidade demandada.</t>
  </si>
  <si>
    <t>Os consumidores deixam de adquirir o produto.</t>
  </si>
  <si>
    <t>A quantidade demandada é igual à quantidade ofertada.</t>
  </si>
  <si>
    <t>Os preços são definidos exclusivamente pelos vendedores.</t>
  </si>
  <si>
    <t>Os custos de produção são reduzidos.</t>
  </si>
  <si>
    <t>O equilíbrio de mercado ocorre no ponto de interseção entre as curvas de oferta e demanda. Nessa situação, a quantidade que os consumidores desejam comprar é exatamente igual à quantidade que os vendedores desejam oferecer, estabelecendo o chamado preço de equilíbrio.</t>
  </si>
  <si>
    <t>Tema 3: Teoria do Consumidor, Tópico 1: Análise Mercadológica de Oferta e de Demanda, Item: Equilíbrio de mercado, Pág. 45.</t>
  </si>
  <si>
    <t>Após fortes chuvas, a produção de tomate foi reduzida e a quantidade disponível no mercado tornou-se insuficiente para atender à procura dos consumidores. Qual tendência é esperada para o preço desse produto?</t>
  </si>
  <si>
    <t>O preço tende a diminuir até zerar.</t>
  </si>
  <si>
    <t>O preço tende a permanecer inalterado.</t>
  </si>
  <si>
    <t>O preço tende a aumentar até atingir um novo equilíbrio.</t>
  </si>
  <si>
    <t>O preço será determinado apenas pelos consumidores.</t>
  </si>
  <si>
    <t>O preço deixará de ser influenciado pela oferta.</t>
  </si>
  <si>
    <t>Quando ocorre escassez de oferta, os consumidores passam a disputar uma quantidade menor de produtos disponíveis no mercado. Essa situação provoca aumento dos preços até que seja alcançado um novo ponto de equilíbrio entre a quantidade ofertada e a quantidade demandada.</t>
  </si>
  <si>
    <t>ECO_T3_001</t>
  </si>
  <si>
    <t>ECO_T3_002</t>
  </si>
  <si>
    <t>ECO_T3_003</t>
  </si>
  <si>
    <t>ECO_T3_004</t>
  </si>
  <si>
    <t>ECO_T3_005</t>
  </si>
  <si>
    <t>ECO_T3_006</t>
  </si>
  <si>
    <t>ECO_T3_007</t>
  </si>
  <si>
    <t>ECO_T3_008</t>
  </si>
  <si>
    <t>ECO_T3_009</t>
  </si>
  <si>
    <t>ECO_T3_010</t>
  </si>
  <si>
    <t>ECO_T3_011</t>
  </si>
  <si>
    <t>ECO_T3_012</t>
  </si>
  <si>
    <t>ECO_T3_013</t>
  </si>
  <si>
    <t>ECO_T3_014</t>
  </si>
  <si>
    <t>ECO_T3_015</t>
  </si>
  <si>
    <t>ECO_T3_016</t>
  </si>
  <si>
    <t>ECO_T3_017</t>
  </si>
  <si>
    <t>ECO_T3_018</t>
  </si>
  <si>
    <t>Uma empresa do setor agroindustrial adotou máquinas mais modernas, aumentando sua produtividade sem alterar os preços de venda dos produtos. De acordo com a Teoria do Consumidor, essa mudança tende a provocar qual efeito sobre a curva de oferta?</t>
  </si>
  <si>
    <t>Movimento ao longo da curva de demanda.</t>
  </si>
  <si>
    <t>Deslocamento da curva de oferta para a direita.</t>
  </si>
  <si>
    <t>Deslocamento da curva de demanda para a esquerda.</t>
  </si>
  <si>
    <t>Redução da quantidade demandada.</t>
  </si>
  <si>
    <t>Manutenção da oferta no mesmo nível.</t>
  </si>
  <si>
    <t>O deslocamento da curva de oferta ocorre quando variáveis que influenciam a decisão dos produtores são alteradas, mantendo-se os preços constantes. A adoção de novas tecnologias aumenta a eficiência produtiva e permite que as empresas ofertem maiores quantidades aos mesmos preços, deslocando a curva de oferta para a direita.</t>
  </si>
  <si>
    <t>Tema 3: Teoria do Consumidor, Tópico 1: Análise Mercadológica de Oferta e de Demanda, Item: Deslocamento da curva de oferta, Pág. 44.</t>
  </si>
  <si>
    <t>Qual das alternativas apresenta apenas fatores que podem provocar o deslocamento da curva de oferta de um produto?</t>
  </si>
  <si>
    <t>Preço do produto e renda do consumidor.</t>
  </si>
  <si>
    <t>Tecnologia e preferências do consumidor.</t>
  </si>
  <si>
    <t>Condições climáticas e preço do produto.</t>
  </si>
  <si>
    <t>Tecnologia, condições climáticas e impostos governamentais.</t>
  </si>
  <si>
    <t>Preço de produtos substitutos e renda do consumidor.</t>
  </si>
  <si>
    <t>O deslocamento da curva de oferta ocorre quando variáveis que afetam a expectativa dos produtores são modificadas, mantendo-se os preços constantes. Entre essas variáveis estão a tecnologia, as condições climáticas, o suprimento de insumos e os impostos ou subsídios governamentais. Mudanças no preço do próprio produto geram apenas movimentos ao longo da curva de oferta.</t>
  </si>
  <si>
    <t>Uma seca prolongada reduziu a produtividade das lavouras de café em determinada região, mesmo sem alteração no preço do produto. Qual será o efeito mais provável sobre a curva de oferta?</t>
  </si>
  <si>
    <t>Deslocamento da curva de oferta para a esquerda.</t>
  </si>
  <si>
    <t>Movimento ao longo da curva de oferta.</t>
  </si>
  <si>
    <t>Deslocamento da curva de demanda para a direita.</t>
  </si>
  <si>
    <t>Aumento da quantidade demandada.</t>
  </si>
  <si>
    <t>As condições climáticas são uma das variáveis que influenciam a oferta de bens e serviços. Eventos climáticos adversos, como secas prolongadas, reduzem a capacidade produtiva e fazem com que os produtores ofertem menores quantidades aos mesmos preços, provocando o deslocamento da curva de oferta para a esquerda.</t>
  </si>
  <si>
    <t>Qual situação representa uma alteração que provoca apenas movimento ao longo da curva de oferta, sem deslocá-la?</t>
  </si>
  <si>
    <t>Aumento dos impostos sobre a produção.</t>
  </si>
  <si>
    <t>Melhoria das condições climáticas.</t>
  </si>
  <si>
    <t>Redução no custo dos insumos agrícolas.</t>
  </si>
  <si>
    <t>Variação no preço do próprio produto.</t>
  </si>
  <si>
    <t>Concessão de subsídios governamentais.</t>
  </si>
  <si>
    <t>Segundo a Lei da Oferta, quando ocorre variação no preço do próprio produto, há alteração apenas na quantidade ofertada, gerando movimento ao longo da curva de oferta. O deslocamento da curva ocorre somente quando variáveis como tecnologia, clima, custos de produção, impostos ou subsídios são modificadas, mantendo-se os preços constantes.</t>
  </si>
  <si>
    <t>Tema 3: Teoria do Consumidor, Tópico 1: Análise Mercadológica de Oferta e de Demanda, Item: Lei da Oferta, Pág. 42.</t>
  </si>
  <si>
    <t>ECO_T4_020</t>
  </si>
  <si>
    <t>ECO_T4_001</t>
  </si>
  <si>
    <t>ECO_T4_002</t>
  </si>
  <si>
    <t>ECO_T4_003</t>
  </si>
  <si>
    <t>ECO_T4_004</t>
  </si>
  <si>
    <t>ECO_T4_005</t>
  </si>
  <si>
    <t>ECO_T4_006</t>
  </si>
  <si>
    <t>ECO_T4_007</t>
  </si>
  <si>
    <t>ECO_T4_008</t>
  </si>
  <si>
    <t>ECO_T4_009</t>
  </si>
  <si>
    <t>ECO_T4_010</t>
  </si>
  <si>
    <t>ECO_T4_011</t>
  </si>
  <si>
    <t>ECO_T4_012</t>
  </si>
  <si>
    <t>ECO_T4_013</t>
  </si>
  <si>
    <t>ECO_T4_014</t>
  </si>
  <si>
    <t>ECO_T4_015</t>
  </si>
  <si>
    <t>ECO_T4_016</t>
  </si>
  <si>
    <t>ECO_T4_017</t>
  </si>
  <si>
    <t>ECO_T4_018</t>
  </si>
  <si>
    <t>ECO_T4_019</t>
  </si>
  <si>
    <t>ECO_T5_001</t>
  </si>
  <si>
    <t>ECO_T5_002</t>
  </si>
  <si>
    <t>ECO_T5_003</t>
  </si>
  <si>
    <t>ECO_T5_004</t>
  </si>
  <si>
    <t>ECO_T5_005</t>
  </si>
  <si>
    <t>ECO_T5_006</t>
  </si>
  <si>
    <t>ECO_T5_007</t>
  </si>
  <si>
    <t>ECO_T5_008</t>
  </si>
  <si>
    <t>ECO_T5_009</t>
  </si>
  <si>
    <t>ECO_T5_010</t>
  </si>
  <si>
    <t>ECO_T5_011</t>
  </si>
  <si>
    <t>ECO_T5_012</t>
  </si>
  <si>
    <t>ECO_T5_013</t>
  </si>
  <si>
    <t>ECO_T5_014</t>
  </si>
  <si>
    <t>ECO_T5_015</t>
  </si>
  <si>
    <t>ECO_T5_016</t>
  </si>
  <si>
    <t>ECO_T5_017</t>
  </si>
  <si>
    <t>ECO_T5_018</t>
  </si>
  <si>
    <t>ECO_T5_019</t>
  </si>
  <si>
    <t>ECO_T5_020</t>
  </si>
  <si>
    <t>ECO_T6_020</t>
  </si>
  <si>
    <t>ECO_T6_001</t>
  </si>
  <si>
    <t>ECO_T6_003</t>
  </si>
  <si>
    <t>ECO_T6_004</t>
  </si>
  <si>
    <t>ECO_T6_005</t>
  </si>
  <si>
    <t>ECO_T6_006</t>
  </si>
  <si>
    <t>ECO_T6_007</t>
  </si>
  <si>
    <t>ECO_T6_008</t>
  </si>
  <si>
    <t>ECO_T6_009</t>
  </si>
  <si>
    <t>ECO_T6_010</t>
  </si>
  <si>
    <t>ECO_T6_011</t>
  </si>
  <si>
    <t>ECO_T6_012</t>
  </si>
  <si>
    <t>ECO_T6_013</t>
  </si>
  <si>
    <t>ECO_T6_014</t>
  </si>
  <si>
    <t>ECO_T6_015</t>
  </si>
  <si>
    <t>ECO_T6_016</t>
  </si>
  <si>
    <t>ECO_T6_017</t>
  </si>
  <si>
    <t>ECO_T6_018</t>
  </si>
  <si>
    <t>ECO_T6_019</t>
  </si>
  <si>
    <t>ECO_T2_012</t>
  </si>
  <si>
    <t>ECO_T2_013</t>
  </si>
  <si>
    <t>ECO_T2_014</t>
  </si>
  <si>
    <t>ECO_T2_015</t>
  </si>
  <si>
    <t>ECO_T2_016</t>
  </si>
  <si>
    <t>ECO_T2_017</t>
  </si>
  <si>
    <t>ECO_T2_018</t>
  </si>
  <si>
    <t>ECO_T2_019</t>
  </si>
  <si>
    <t>ECO_T2_020</t>
  </si>
  <si>
    <t>Tema 4</t>
  </si>
  <si>
    <t>Sistema de preços dos produtos agropecuários</t>
  </si>
  <si>
    <t>Quais fatores são considerados especificidades dos mercados rurais e influenciam diretamente a formação dos preços dos produtos agropecuários?</t>
  </si>
  <si>
    <t>Taxa de juros e nível de emprego.</t>
  </si>
  <si>
    <t>Custos administrativos e depreciação.</t>
  </si>
  <si>
    <t>Sazonalidade da produção, fatores climáticos e perecibilidade dos produtos.</t>
  </si>
  <si>
    <t>Estratégias de marketing e concorrência internacional.</t>
  </si>
  <si>
    <t>Política tributária e taxa de câmbio.</t>
  </si>
  <si>
    <t>O sistema de preços dos produtos agropecuários é influenciado por características específicas dos mercados rurais. Entre elas, destacam-se a sazonalidade da produção, os fatores climáticos e a perecibilidade dos produtos, que afetam a disponibilidade, a qualidade e o momento ideal de comercialização. Essas características explicam a maior volatilidade dos preços no agronegócio em comparação a outros setores da economia.</t>
  </si>
  <si>
    <t>Tema 4: Elasticidade e Sistema de Preços, Tópico 2: Sistema de preços dos produtos agropecuários, Item: Especificidades dos mercados rurais, Pág. 54.</t>
  </si>
  <si>
    <t>Um produtor de soja possui estrutura de armazenagem adequada e decide estocar sua produção após a colheita para vender em um momento de preços mais elevados. Qual característica do mercado agropecuário está sendo utilizada pelo produtor para melhorar sua negociação?</t>
  </si>
  <si>
    <t>Elasticidade da demanda.</t>
  </si>
  <si>
    <t>Perecibilidade dos produtos e capacidade de armazenamento.</t>
  </si>
  <si>
    <t>Intervenção governamental.</t>
  </si>
  <si>
    <t>A capacidade de armazenamento reduz os efeitos da perecibilidade e da sazonalidade sobre a comercialização dos produtos agropecuários. Ao armazenar a produção, o produtor não precisa vender imediatamente após a colheita, podendo negociar em períodos de preços mais favoráveis e aumentar sua margem de ganho.</t>
  </si>
  <si>
    <t>Tema 4: Elasticidade e Sistema de Preços, Tópico 2: Sistema de preços dos produtos agropecuários, Item: Sistema de preços dos produtos agropecuários, Pág. 54.</t>
  </si>
  <si>
    <t>Uma geada inesperada reduziu a produção de café em determinada região, diminuindo a oferta disponível no mercado. Esse exemplo demonstra a influência de qual característica específica do mercado rural sobre os preços?</t>
  </si>
  <si>
    <t>Nível de concorrência.</t>
  </si>
  <si>
    <t>Fatores climáticos.</t>
  </si>
  <si>
    <t>Custos fixos de produção.</t>
  </si>
  <si>
    <t>Taxa de juros agrícola.</t>
  </si>
  <si>
    <t>Os fatores climáticos exercem forte influência sobre a produção agropecuária e, consequentemente, sobre os preços dos produtos. Eventos como geadas, secas e excesso de chuvas podem reduzir a oferta disponível no mercado, provocando elevação dos preços e desequilíbrios temporários entre oferta e demanda.</t>
  </si>
  <si>
    <t>Nos mercados agropecuários, a sazonalidade da produção influencia diretamente os preços porque:</t>
  </si>
  <si>
    <t>Os produtos agrícolas possuem demanda constante durante todo o ano.</t>
  </si>
  <si>
    <t>A produção ocorre de forma uniforme em todos os períodos.</t>
  </si>
  <si>
    <t>A oferta dos produtos varia ao longo do tempo em função dos ciclos produtivos.</t>
  </si>
  <si>
    <t>Os custos de produção permanecem fixos independentemente da época do ano.</t>
  </si>
  <si>
    <t>Os consumidores deixam de comprar produtos agrícolas fora da safra.</t>
  </si>
  <si>
    <t>A sazonalidade da produção é uma característica marcante do agronegócio. Como a produção agrícola depende dos ciclos naturais de cultivo e colheita, a quantidade ofertada varia ao longo do ano, afetando a disponibilidade dos produtos e os preços praticados no mercado.</t>
  </si>
  <si>
    <t>Elasticidade e Sistema de Preços</t>
  </si>
  <si>
    <t>Um produto agropecuário apresenta pequena variação na quantidade demandada, mesmo após aumentos significativos de preço, pois é considerado essencial e possui poucos substitutos. Como essa demanda pode ser classificada?</t>
  </si>
  <si>
    <t>Elástica.</t>
  </si>
  <si>
    <t>Inelástica.</t>
  </si>
  <si>
    <t>Unitária.</t>
  </si>
  <si>
    <t>Perfeitamente elástica.</t>
  </si>
  <si>
    <t>Perfeitamente inelástica.</t>
  </si>
  <si>
    <t>A demanda é considerada inelástica quando a quantidade demandada varia pouco em resposta às alterações de preço. Esse comportamento é comum em bens essenciais ou que possuem poucos substitutos, como ocorre com diversos produtos agropecuários de consumo básico.</t>
  </si>
  <si>
    <t>Tema 4: Elasticidade e Sistema de Preços, Tópico 1: Conceitos básicos, Item: Elasticidade, Pág. 52.</t>
  </si>
  <si>
    <t>Quando ocorre excesso de produção de determinado produto agropecuário, qual tendência é esperada para o preço de mercado e para a quantidade demandada?</t>
  </si>
  <si>
    <t>O preço aumenta e a quantidade demandada diminui.</t>
  </si>
  <si>
    <t>O preço permanece constante e a quantidade demandada aumenta.</t>
  </si>
  <si>
    <t>O preço diminui e a quantidade demandada tende a aumentar.</t>
  </si>
  <si>
    <t>O preço diminui e a quantidade demandada permanece inalterada.</t>
  </si>
  <si>
    <t>O preço aumenta e a quantidade demandada aumenta.</t>
  </si>
  <si>
    <t>No sistema de preços, a interação entre oferta e demanda determina o preço de equilíbrio. Quando ocorre excesso de oferta, os preços tendem a cair. Como consequência, a quantidade demandada aumenta, embora esse aumento possa ser pequeno em produtos com demanda inelástica.</t>
  </si>
  <si>
    <t>Tema 4: Elasticidade e Sistema de Preços, Tópico 2: Sistema de preços dos produtos agropecuários, Item: Determinação dos preços, Pág. 53.</t>
  </si>
  <si>
    <t>A elasticidade-preço da demanda pode ser definida como:</t>
  </si>
  <si>
    <t>A relação entre a variação proporcional do preço e a variação proporcional dos custos de produção.</t>
  </si>
  <si>
    <t>A mudança proporcional na quantidade demandada ou ofertada em resposta à mudança proporcional no preço.</t>
  </si>
  <si>
    <t>A relação entre a quantidade produzida e o custo total de produção.</t>
  </si>
  <si>
    <t>A variação proporcional da oferta em função da renda do consumidor.</t>
  </si>
  <si>
    <t>A relação entre a demanda e o nível tecnológico da produção.</t>
  </si>
  <si>
    <t>A elasticidade mede a relação entre a mudança proporcional na quantidade demandada ou ofertada de um bem e a mudança proporcional em seu preço. Esse conceito permite avaliar o grau de sensibilidade dos consumidores e produtores diante das oscilações de preços no mercado.</t>
  </si>
  <si>
    <t>O sal de cozinha costuma apresentar pequenas variações na quantidade consumida, mesmo quando seu preço sofre alterações significativas. Segundo a teoria da elasticidade, qual fator explica esse comportamento?</t>
  </si>
  <si>
    <t>O produto possui muitos substitutos próximos.</t>
  </si>
  <si>
    <t>O produto apresenta elevado valor de mercado.</t>
  </si>
  <si>
    <t>O produto é considerado supérfluo.</t>
  </si>
  <si>
    <t>O produto possui poucos substitutos e baixo peso no orçamento do consumidor.</t>
  </si>
  <si>
    <t>O consumo depende exclusivamente da renda do consumidor.</t>
  </si>
  <si>
    <t>Produtos como o sal de cozinha apresentam baixa elasticidade-preço da demanda porque possuem poucos substitutos próximos e representam uma parcela pequena do orçamento das famílias. Assim, alterações no preço provocam pequenas mudanças na quantidade demandada.</t>
  </si>
  <si>
    <t>Tema 4: Elasticidade e Sistema de Preços, Tópico 1: Conceitos básicos, Item: Elasticidade, Pág. 53.</t>
  </si>
  <si>
    <t>O aumento da procura por aves natalinas durante o mês de dezembro ocorre principalmente em função de qual fator que influencia a demanda?</t>
  </si>
  <si>
    <t>Custos de produção.</t>
  </si>
  <si>
    <t>Hábitos e preferências dos consumidores.</t>
  </si>
  <si>
    <t>Taxa de juros.</t>
  </si>
  <si>
    <t>Nível de concorrência entre as empresas.</t>
  </si>
  <si>
    <t>Os hábitos e as preferências dos consumidores são fatores que influenciam diretamente a demanda. Em datas comemorativas, como o Natal, determinados produtos passam a ser mais procurados devido a aspectos culturais e tradições de consumo. Assim, o aumento da demanda por aves natalinas está relacionado às preferências dos consumidores e não necessariamente a alterações de preços.</t>
  </si>
  <si>
    <t>Um supermercado percebe aumento significativo nas vendas de peru e chester durante as festas de fim de ano, mesmo sem reduzir os preços desses produtos. Esse comportamento demonstra que a demanda pode ser influenciada principalmente por:</t>
  </si>
  <si>
    <t>Mudanças climáticas.</t>
  </si>
  <si>
    <t>Redução dos custos de produção.</t>
  </si>
  <si>
    <t>Preferências culturais e hábitos de consumo.</t>
  </si>
  <si>
    <t>Elasticidade da oferta.</t>
  </si>
  <si>
    <t>Disponibilidade de insumos agrícolas.</t>
  </si>
  <si>
    <t>A demanda de determinados produtos pode sofrer influência dos hábitos, costumes e preferências dos consumidores. Produtos associados a datas comemorativas apresentam aumento sazonal de procura devido a fatores culturais, independentemente de alterações nos preços.</t>
  </si>
  <si>
    <t>Tema 5</t>
  </si>
  <si>
    <t>Análise da Teoria da Empresa Rural</t>
  </si>
  <si>
    <t>Um produtor rural comercializou 120 kg de tomate ao preço de R$ 2,50 por quilograma e 80 kg de cebola ao preço de R$ 3,00 por quilograma. Qual foi a receita total obtida com a venda desses produtos?</t>
  </si>
  <si>
    <t>R$ 300,00.</t>
  </si>
  <si>
    <t>R$ 540,00.</t>
  </si>
  <si>
    <t>R$ 600,00.</t>
  </si>
  <si>
    <t>R$ 240,00.</t>
  </si>
  <si>
    <t>R$ 440,00.</t>
  </si>
  <si>
    <t>A receita total é obtida pela multiplicação da quantidade vendida pelo preço de cada produto e pela soma das receitas individuais. Nesse caso, a receita com o tomate foi de R$ 300,00 (120 × 2,50) e a receita com a cebola foi de R$ 240,00 (80 × 3,00). Portanto, a receita total da propriedade rural foi de R$ 540,00.</t>
  </si>
  <si>
    <t>Tema 5: Teoria da Firma, Tópico 1: Análise da Teoria da Empresa Rural, Item: Receita, custo e lucro, Pág. 62.</t>
  </si>
  <si>
    <t>Após comercializar sua produção, um agricultor verificou que sua receita total foi de R$ 5.000,00 e seus custos totais somaram R$ 3.800,00. Qual foi o lucro total obtido no período?</t>
  </si>
  <si>
    <t>R$ 1.200,00.</t>
  </si>
  <si>
    <t>R$ 1.500,00.</t>
  </si>
  <si>
    <t>R$ 8.800,00.</t>
  </si>
  <si>
    <t>R$ 3.800,00.</t>
  </si>
  <si>
    <t>R$ 5.000,00.</t>
  </si>
  <si>
    <t>O lucro total é obtido pela diferença entre a receita total e os custos totais da produção. Utilizando a fórmula LT = RT − CT, temos LT = R$ 5.000,00 − R$ 3.800,00, resultando em um lucro total de R$ 1.200,00 no período analisado.</t>
  </si>
  <si>
    <t>Tema 5: Teoria da Firma, Tópico 1: Análise da Teoria da Empresa Rural, Item: Receita, custo e lucro, Pág. 63.</t>
  </si>
  <si>
    <t>Segundo a Teoria da Firma, qual é o principal objetivo econômico de uma empresa rural?</t>
  </si>
  <si>
    <t>Ampliar a quantidade de funcionários.</t>
  </si>
  <si>
    <t>Maximizar o lucro.</t>
  </si>
  <si>
    <t>Produzir a maior quantidade possível.</t>
  </si>
  <si>
    <t>Reduzir os custos fixos a zero.</t>
  </si>
  <si>
    <t>Aumentar continuamente a área cultivada.</t>
  </si>
  <si>
    <t>O objetivo central de toda empresa é a maximização do lucro. Na empresa rural, isso significa utilizar os recursos produtivos disponíveis, como terra, trabalho e capital, da forma mais eficiente possível para obter a maior diferença positiva entre a receita total e os custos totais de produção.</t>
  </si>
  <si>
    <t>ECO_T2_004</t>
  </si>
  <si>
    <t>De acordo com a Teoria da Firma, qual condição deve ser atendida para que uma empresa rural alcance o lucro máximo?</t>
  </si>
  <si>
    <t>A receita total deve ser igual ao custo total.</t>
  </si>
  <si>
    <t>O custo marginal deve ser maior que a receita marginal.</t>
  </si>
  <si>
    <t>A receita marginal deve ser igual ao custo marginal.</t>
  </si>
  <si>
    <t>O custo fixo deve ser igual ao custo variável.</t>
  </si>
  <si>
    <t>A produção deve atingir sua capacidade máxima.</t>
  </si>
  <si>
    <t>Segundo a Teoria da Firma, o lucro máximo é alcançado no ponto em que a receita marginal (RMg) é igual ao custo marginal (CMg). Isso significa que a receita gerada pela venda de uma unidade adicional é exatamente igual ao custo necessário para produzi-la. Produzir além desse ponto reduz a rentabilidade da atividade.</t>
  </si>
  <si>
    <t>Tema 5: Teoria da Firma, Tópico 1: Análise da Teoria da Empresa Rural, Item: Lucro máximo, Pág. 73.</t>
  </si>
  <si>
    <t>O que representa o custo marginal na análise econômica da empresa rural?</t>
  </si>
  <si>
    <t>O custo total da produção em determinado período.</t>
  </si>
  <si>
    <t>O valor gasto com os custos fixos da propriedade.</t>
  </si>
  <si>
    <t>O acréscimo no custo total decorrente da produção de uma unidade adicional.</t>
  </si>
  <si>
    <t>A diferença entre receita total e custo total.</t>
  </si>
  <si>
    <t>O custo médio de todas as unidades produzidas.</t>
  </si>
  <si>
    <t>O custo marginal corresponde ao acréscimo no custo total gerado pela produção de uma unidade adicional do bem ou serviço. Esse indicador é fundamental para a tomada de decisão do produtor rural, pois auxilia na definição do nível ótimo de produção.</t>
  </si>
  <si>
    <t>Tema 5: Teoria da Firma, Tópico 1: Análise da Teoria da Empresa Rural, Item: Custos médio e marginal, Pág. 68.</t>
  </si>
  <si>
    <t>A receita marginal pode ser definida como:</t>
  </si>
  <si>
    <t>A receita obtida com a venda total da produção.</t>
  </si>
  <si>
    <t>A diferença entre a receita total e os custos variáveis.</t>
  </si>
  <si>
    <t>A variação da receita total decorrente da venda de uma unidade adicional do produto.</t>
  </si>
  <si>
    <t>O valor médio recebido por unidade comercializada.</t>
  </si>
  <si>
    <t>A soma das receitas obtidas em diferentes períodos.</t>
  </si>
  <si>
    <t>A receita marginal representa a variação da receita total obtida pela empresa quando uma unidade adicional do produto é vendida. Esse conceito é utilizado juntamente com o custo marginal para determinar o ponto de maximização do lucro.</t>
  </si>
  <si>
    <t>Tema 5: Teoria da Firma, Tópico 1: Análise da Teoria da Empresa Rural, Item: Receita marginal, Pág. 72.</t>
  </si>
  <si>
    <t>Um produtor rural verificou que o custo marginal para produzir uma caixa adicional de morangos é de R$ 45,00, enquanto a receita marginal obtida com a venda dessa caixa é de R$ 60,00. Considerando a Teoria da Firma, qual decisão tende a aumentar o lucro da propriedade?</t>
  </si>
  <si>
    <t>Reduzir a produção imediatamente.</t>
  </si>
  <si>
    <t>Manter o nível atual de produção.</t>
  </si>
  <si>
    <t>Aumentar a produção até que o custo marginal se iguale à receita marginal.</t>
  </si>
  <si>
    <t>Interromper a comercialização do produto.</t>
  </si>
  <si>
    <t>Reduzir o preço de venda independentemente dos custos.</t>
  </si>
  <si>
    <t>Quando a receita marginal é maior que o custo marginal, a venda de uma unidade adicional gera aumento no lucro da empresa. Portanto, o produtor deve ampliar a produção até o ponto em que a receita marginal se iguale ao custo marginal, condição necessária para a maximização do lucro.</t>
  </si>
  <si>
    <t>Qual alternativa apresenta corretamente as variáveis utilizadas pela Teoria da Firma para identificar o ponto de lucro máximo?</t>
  </si>
  <si>
    <t>Custo fixo e custo variável.</t>
  </si>
  <si>
    <t>Receita total e custo total.</t>
  </si>
  <si>
    <t>Custo médio e receita média.</t>
  </si>
  <si>
    <t>Custo marginal e receita marginal.</t>
  </si>
  <si>
    <t>Receita líquida e custo operacional.</t>
  </si>
  <si>
    <t>A Teoria da Firma utiliza as variáveis custo marginal e receita marginal para identificar o ponto de lucro máximo. O custo marginal representa o acréscimo de custo gerado pela produção de uma unidade adicional, enquanto a receita marginal corresponde ao aumento da receita decorrente da venda dessa unidade adicional.</t>
  </si>
  <si>
    <t>Segundo a Teoria da Firma, em qual situação uma empresa rural obtém lucro?</t>
  </si>
  <si>
    <t>Quando os custos totais são menores que a receita total.</t>
  </si>
  <si>
    <t>Quando a receita total é igual aos custos totais.</t>
  </si>
  <si>
    <t>Quando os custos variáveis são maiores que a receita total.</t>
  </si>
  <si>
    <t>Quando os custos totais superam a receita total.</t>
  </si>
  <si>
    <t>Quando os custos fixos são iguais aos custos variáveis.</t>
  </si>
  <si>
    <t>O lucro é obtido quando a receita total supera os custos totais da atividade. A relação pode ser expressa pela fórmula Lucro = Receita Total − Custos Totais. Dessa forma, sempre que os custos de produção e os gastos operacionais forem inferiores à receita obtida com as vendas, a empresa apresentará resultado positivo.</t>
  </si>
  <si>
    <t>Uma propriedade rural obteve receita total de R$ 85.000,00 e custos totais de R$ 72.000,00 em determinado período. Qual foi o lucro obtido pela empresa?</t>
  </si>
  <si>
    <t>R$ 13.000,00.</t>
  </si>
  <si>
    <t>R$ 72.000,00.</t>
  </si>
  <si>
    <t>R$ 85.000,00.</t>
  </si>
  <si>
    <t>R$ 157.000,00.</t>
  </si>
  <si>
    <t>R$ 7.200,00.</t>
  </si>
  <si>
    <t>O lucro é calculado pela diferença entre a receita total e os custos totais. Nesse caso, o produtor obteve lucro de R$ 13.000,00, resultado da operação R$ 85.000,00 − R$ 72.000,00. Esse indicador permite avaliar a viabilidade econômica da atividade rural.</t>
  </si>
  <si>
    <t>O aumento da receita de vendas garante, necessariamente, o aumento do lucro de uma empresa rural?</t>
  </si>
  <si>
    <t>Sim, porque toda elevação da receita aumenta automaticamente o lucro.</t>
  </si>
  <si>
    <t>Não, porque os custos podem aumentar em proporção igual ou superior à receita.</t>
  </si>
  <si>
    <t>Sim, desde que a produção seja ampliada.</t>
  </si>
  <si>
    <t>Não, porque a receita não influencia o lucro.</t>
  </si>
  <si>
    <t>Sim, desde que os custos fixos permaneçam constantes.</t>
  </si>
  <si>
    <t>O aumento da receita não garante, necessariamente, maior lucro. Para que o lucro aumente, é necessário que o crescimento da receita seja superior ao aumento dos custos totais. Caso as despesas cresçam na mesma proporção ou acima da receita, o lucro poderá permanecer inalterado ou até diminuir.</t>
  </si>
  <si>
    <t>Produzir uma quantidade maior de bens garante automaticamente maior lucro para a empresa rural?</t>
  </si>
  <si>
    <t>Sim, porque o aumento da produção sempre reduz os custos totais.</t>
  </si>
  <si>
    <t>Não, porque o aumento da produção pode elevar os custos acima da receita obtida.</t>
  </si>
  <si>
    <t>Sim, desde que a empresa venda toda a produção.</t>
  </si>
  <si>
    <t>Não, porque a quantidade produzida não interfere na receita.</t>
  </si>
  <si>
    <t>Sim, porque maiores volumes de produção eliminam os custos fixos.</t>
  </si>
  <si>
    <t>O aumento da quantidade produzida não assegura maior lucro. O produtor deve avaliar se a receita adicional obtida com a ampliação da produção é suficiente para cobrir os custos adicionais envolvidos. Produzir além do nível economicamente eficiente pode reduzir a rentabilidade da atividade.</t>
  </si>
  <si>
    <t>Quando a receita total de uma empresa rural é exatamente igual ao custo total, qual é o resultado econômico obtido?</t>
  </si>
  <si>
    <t>Lucro máximo.</t>
  </si>
  <si>
    <t>Prejuízo operacional.</t>
  </si>
  <si>
    <t>Lucro extraordinário.</t>
  </si>
  <si>
    <t>Ponto de equilíbrio.</t>
  </si>
  <si>
    <t>Receita marginal positiva.</t>
  </si>
  <si>
    <t>Quando a receita total é igual ao custo total, a empresa atinge o ponto de equilíbrio. Nessa situação, não há lucro nem prejuízo, pois todos os custos da atividade foram cobertos pelas receitas obtidas com as vendas.</t>
  </si>
  <si>
    <t>Qual das alternativas apresenta um exemplo de fator de natureza interna que influencia a tomada de decisão do produtor rural?</t>
  </si>
  <si>
    <t>Políticas governamentais.</t>
  </si>
  <si>
    <t>Nível de renda da população local.</t>
  </si>
  <si>
    <t>Tecnologia de produção disponível no mercado.</t>
  </si>
  <si>
    <t>Necessidades presentes e futuras do negócio.</t>
  </si>
  <si>
    <t>Condições climáticas da região.</t>
  </si>
  <si>
    <t>Os fatores internos são aqueles relacionados às características e condições próprias da empresa rural e do produtor. Entre eles, destacam-se as necessidades presentes e futuras do negócio, a experiência do produtor, seus conhecimentos técnicos e administrativos e a disponibilidade de recursos produtivos. Esses fatores influenciam diretamente o planejamento e a tomada de decisão na propriedade rural.</t>
  </si>
  <si>
    <t>Tema 5: Teoria da Firma, Tópico 1: Análise da Teoria da Empresa Rural, Item: Fatores de natureza interna e externa, Pág. 60.</t>
  </si>
  <si>
    <t>Qual das alternativas representa um fator de natureza externa que pode influenciar o desempenho de uma empresa rural?</t>
  </si>
  <si>
    <t>Habilidade do produtor para realizar as atividades produtivas.</t>
  </si>
  <si>
    <t>Idade do produtor rural.</t>
  </si>
  <si>
    <t>Necessidades futuras do negócio.</t>
  </si>
  <si>
    <t>Conhecimento técnico e administrativo do produtor.</t>
  </si>
  <si>
    <t>Os fatores externos são aqueles que estão fora do controle direto do produtor rural, mas influenciam o desempenho da propriedade. Entre eles, destacam-se as políticas governamentais, o nível de renda da população, a tecnologia disponível e as condições de mercado.</t>
  </si>
  <si>
    <t>O conhecimento técnico e administrativo do produtor rural é classificado como:</t>
  </si>
  <si>
    <t>Fator de natureza externa.</t>
  </si>
  <si>
    <t>Fator de natureza interna.</t>
  </si>
  <si>
    <t>Fator macroeconômico.</t>
  </si>
  <si>
    <t>Fator climático.</t>
  </si>
  <si>
    <t>Fator institucional.</t>
  </si>
  <si>
    <t>O conhecimento técnico e administrativo do produtor é considerado um fator de natureza interna, pois está relacionado às características individuais e às competências gerenciais do responsável pela empresa rural. Esses fatores influenciam diretamente a eficiência da gestão e os resultados econômicos da propriedade.</t>
  </si>
  <si>
    <t>As decisões do produtor rural podem ser influenciadas por fatores internos e externos. Qual das alternativas apresenta apenas fatores externos?</t>
  </si>
  <si>
    <t>Políticas governamentais, tecnologia de produção e nível de renda da população local.</t>
  </si>
  <si>
    <t>Idade do produtor, experiência profissional e tecnologia de produção.</t>
  </si>
  <si>
    <t>Necessidades do negócio, habilidades gerenciais e políticas governamentais.</t>
  </si>
  <si>
    <t>Conhecimento técnico, condições climáticas e renda da população.</t>
  </si>
  <si>
    <t>Experiência do produtor, necessidades do negócio e condições climáticas.</t>
  </si>
  <si>
    <t>Os fatores externos são aqueles que não dependem diretamente das decisões do produtor rural. Entre eles, destacam-se as políticas governamentais, a tecnologia disponível e o nível de renda da população local. Já aspectos como experiência, conhecimento técnico e necessidades do negócio são fatores internos.</t>
  </si>
  <si>
    <t>Qual característica define corretamente os custos fixos em uma empresa rural no curto prazo?</t>
  </si>
  <si>
    <t>Variam proporcionalmente ao volume produzido.</t>
  </si>
  <si>
    <t>São calculados pela divisão do custo total pela quantidade produzida.</t>
  </si>
  <si>
    <t>Permanecem constantes independentemente do nível de produção.</t>
  </si>
  <si>
    <t>Correspondem ao acréscimo de custo para produzir uma unidade adicional.</t>
  </si>
  <si>
    <t>Dependem exclusivamente do preço de venda dos produtos.</t>
  </si>
  <si>
    <t>Os custos fixos são aqueles que permanecem inalterados no curto prazo, independentemente do nível de produção da empresa rural. Mesmo que não haja produção, esses custos continuam existindo. O Imposto sobre a Propriedade Territorial Rural (ITR) e o aluguel de instalações são exemplos de custos fixos.</t>
  </si>
  <si>
    <t>Tema 5: Teoria da Firma, Tópico 1: Análise da Teoria da Empresa Rural, Item: Custos total, fixo e variável, Pág. 69.</t>
  </si>
  <si>
    <t>O custo fixo médio de uma empresa rural é obtido por meio de qual cálculo?</t>
  </si>
  <si>
    <t>Divisão do custo total pela quantidade produzida.</t>
  </si>
  <si>
    <t>Divisão do custo variável total pela quantidade produzida.</t>
  </si>
  <si>
    <t>Divisão do custo marginal pela quantidade produzida.</t>
  </si>
  <si>
    <t>Divisão do custo fixo total pela quantidade produzida.</t>
  </si>
  <si>
    <t>Soma do custo fixo total com o custo variável total.</t>
  </si>
  <si>
    <t>O custo fixo médio é calculado pela divisão do custo fixo total pela quantidade produzida. À medida que a produção aumenta, o custo fixo médio tende a diminuir, pois o mesmo valor de custos fixos é distribuído entre um número maior de unidades produzidas.</t>
  </si>
  <si>
    <t>O valor total gasto na produção.</t>
  </si>
  <si>
    <t>O custo fixo dividido pela quantidade produzida.</t>
  </si>
  <si>
    <t>O custo variável médio da produção.</t>
  </si>
  <si>
    <t>O custo marginal corresponde ao acréscimo no custo total verificado quando é produzida uma unidade adicional do bem ou serviço. Esse indicador auxilia o produtor rural a definir o nível ótimo de produção e é utilizado na análise do ponto de lucro máximo.</t>
  </si>
  <si>
    <t>Em uma propriedade rural, o custo fixo total mensal é de R$ 6.000,00 e a produção foi de 1.500 unidades. Qual é o custo fixo médio por unidade produzida?</t>
  </si>
  <si>
    <t>R$ 2,00.</t>
  </si>
  <si>
    <t>R$ 3,00.</t>
  </si>
  <si>
    <t>R$ 4,00.</t>
  </si>
  <si>
    <t>R$ 5,00.</t>
  </si>
  <si>
    <t>R$ 6,00.</t>
  </si>
  <si>
    <t>O custo fixo médio é calculado dividindo-se o custo fixo total pela quantidade produzida. Nesse caso, CFMe = 6.000 ÷ 1.500 = R$ 4,00 por unidade. Esse indicador mostra quanto cada unidade produzida absorve dos custos fixos da empresa.</t>
  </si>
  <si>
    <t>Qual alternativa apresenta corretamente a relação entre os custos totais de uma empresa rural?</t>
  </si>
  <si>
    <t>O custo total é igual ao custo fixo médio mais o custo variável médio.</t>
  </si>
  <si>
    <t>O custo total é obtido pela multiplicação do custo marginal pela quantidade produzida.</t>
  </si>
  <si>
    <t>O custo total corresponde à soma do custo fixo total e do custo variável total.</t>
  </si>
  <si>
    <t>O custo total é calculado pela divisão da receita total pela quantidade produzida.</t>
  </si>
  <si>
    <t>O custo total corresponde apenas aos custos variáveis da produção.</t>
  </si>
  <si>
    <t>O custo total é obtido pela soma do custo fixo total com o custo variável total, conforme a expressão CT = CFT + CVT. Essa relação permite ao produtor rural compreender a estrutura de custos da propriedade e avaliar a rentabilidade da atividade.</t>
  </si>
  <si>
    <t>ECO_T5_021</t>
  </si>
  <si>
    <t>ECO_T5_022</t>
  </si>
  <si>
    <t>Tema 6</t>
  </si>
  <si>
    <t>Aspectos Iniciais de Desenvolvimento Rural</t>
  </si>
  <si>
    <t>Um produtor rural utiliza ferramentas manuais para preparar o solo, apresenta baixa mecanização e possui resistência à adoção de novas tecnologias. Segundo a classificação dos empreendimentos rurais, esse produtor se enquadra em qual categoria?</t>
  </si>
  <si>
    <t>Empreendimento rural moderno.</t>
  </si>
  <si>
    <t>Empreendimento rural em transição.</t>
  </si>
  <si>
    <t>Empreendimento rural tradicional.</t>
  </si>
  <si>
    <t>Empreendimento rural cooperativo.</t>
  </si>
  <si>
    <t>Empreendimento rural sustentável.</t>
  </si>
  <si>
    <t>O empreendimento rural tradicional caracteriza-se pelo uso de equipamentos rudimentares, baixa produtividade e pouca adoção de novas tecnologias. Nesse modelo, o produtor utiliza de forma limitada os recursos produtivos disponíveis e apresenta baixa integração com os demais agentes da cadeia produtiva.</t>
  </si>
  <si>
    <t>Tema 6: Desenvolvimento Rural no Brasil, Tópico 1: Aspectos Iniciais de Desenvolvimento Rural, Item: Tipos de empreendimentos rurais no Brasil, Pág. 81.</t>
  </si>
  <si>
    <t>Uso exclusivo de mão de obra familiar.</t>
  </si>
  <si>
    <t>Tema 6: Desenvolvimento Rural no Brasil, Tópico 1: Aspectos Iniciais de Desenvolvimento Rural, Item: Tipos de empreendimentos rurais no Brasil, Pág. 82.</t>
  </si>
  <si>
    <t>Uma produtora rural adota práticas de conservação ambiental, utiliza racionalmente a água e busca reduzir os impactos da atividade agrícola sobre o meio ambiente. Qual dimensão do desenvolvimento sustentável está sendo priorizada?</t>
  </si>
  <si>
    <t>Dimensão social.</t>
  </si>
  <si>
    <t>Dimensão espacial.</t>
  </si>
  <si>
    <t>A dimensão ecológica do desenvolvimento sustentável está relacionada ao uso racional dos recursos naturais, à preservação ambiental e à conservação dos recursos produtivos para as futuras gerações. O objetivo é promover o desenvolvimento econômico com o menor impacto ambiental possível.</t>
  </si>
  <si>
    <t>Tema 6: Desenvolvimento Rural no Brasil, Tópico 1: Aspectos Iniciais de Desenvolvimento Rural, Item: Desenvolvimento agrícola sustentável, Pág. 80.</t>
  </si>
  <si>
    <t>Segundo o conceito de desenvolvimento sustentável apresentado na apostila, qual é o principal objetivo da dimensão ecológica?</t>
  </si>
  <si>
    <t>Aumentar o Produto Interno Bruto do país.</t>
  </si>
  <si>
    <t>Promover a distribuição geográfica da população.</t>
  </si>
  <si>
    <t>Preservar os recursos naturais por meio do uso racional e reduzir os impactos ambientais.</t>
  </si>
  <si>
    <t>Valorizar exclusivamente as tradições culturais locais.</t>
  </si>
  <si>
    <t>Ampliar a competitividade internacional do agronegócio.</t>
  </si>
  <si>
    <t>A dimensão ecológica do desenvolvimento sustentável busca melhorar a qualidade do meio ambiente por meio do uso racional dos recursos naturais e da preservação dos recursos produtivos que serão utilizados pelas próximas gerações. Essa dimensão é essencial para garantir a sustentabilidade das atividades agropecuárias.</t>
  </si>
  <si>
    <t>Um empreendimento rural passou a utilizar computadores conectados à internet, sistemas de irrigação automatizados e informações sobre as preferências dos consumidores para orientar a produção. Essa propriedade pode ser classificada como:</t>
  </si>
  <si>
    <t>Empreendimento rural familiar.</t>
  </si>
  <si>
    <t>Empreendimento rural artesanal.</t>
  </si>
  <si>
    <t>O empreendimento rural moderno utiliza tecnologias de gestão e produção, possui elevada integração com os demais agentes da cadeia produtiva e acompanha as demandas dos consumidores. O uso de sistemas de irrigação, internet e ferramentas gerenciais permite aumentar a produtividade e a competitividade da propriedade rural.</t>
  </si>
  <si>
    <t>Qual modalidade de crédito rural tem como principal objetivo cobrir despesas relacionadas ao transporte e à armazenagem da produção agropecuária?</t>
  </si>
  <si>
    <t>Custeio.</t>
  </si>
  <si>
    <t>Investimento.</t>
  </si>
  <si>
    <t>Comercialização.</t>
  </si>
  <si>
    <t>Crédito fundiário.</t>
  </si>
  <si>
    <t>Capital de giro.</t>
  </si>
  <si>
    <t>A modalidade de crédito rural denominada comercialização destina-se a cobrir despesas decorrentes do processo de comercialização dos produtos agropecuários, especialmente gastos com armazenagem e transporte. Essa linha de crédito permite ao produtor planejar melhor a venda da produção e reduzir perdas decorrentes da necessidade de comercialização imediata.</t>
  </si>
  <si>
    <t>Tema 6: Desenvolvimento Rural no Brasil, Tópico 1: Aspectos Iniciais de Desenvolvimento Rural, Item: Política agrícola no Brasil, Pág. 83.</t>
  </si>
  <si>
    <t>Um produtor rural pretende adquirir um novo sistema de irrigação e um trator para modernizar sua propriedade. Qual modalidade de crédito rural é a mais indicada para essa finalidade?</t>
  </si>
  <si>
    <t>O crédito rural na modalidade investimento destina-se à aquisição de bens e serviços cuja utilização ocorre no longo prazo, como máquinas, equipamentos e sistemas de irrigação. O objetivo é promover a modernização da propriedade e aumentar a produtividade do empreendimento rural.</t>
  </si>
  <si>
    <t>A modalidade de crédito rural denominada custeio é destinada principalmente a:</t>
  </si>
  <si>
    <t>Financiar gastos com transporte e armazenagem.</t>
  </si>
  <si>
    <t>Adquirir máquinas e equipamentos de longa duração.</t>
  </si>
  <si>
    <t>Cobrir despesas correntes e custos variáveis dos ciclos produtivos.</t>
  </si>
  <si>
    <t>Regularizar a posse de terras rurais.</t>
  </si>
  <si>
    <t>Financiar exclusivamente atividades florestais.</t>
  </si>
  <si>
    <t>O crédito rural de custeio tem como objetivo cobrir as despesas correntes da atividade agropecuária e os custos variáveis dos ciclos produtivos, como aquisição de sementes, fertilizantes, defensivos, ração e pagamento de mão de obra temporária.</t>
  </si>
  <si>
    <t>Qual dos objetivos a seguir está diretamente relacionado à política de crédito rural no Brasil?</t>
  </si>
  <si>
    <t>Reduzir a participação do agronegócio no PIB nacional.</t>
  </si>
  <si>
    <t>Estimular investimentos rurais e aumentar a produtividade.</t>
  </si>
  <si>
    <t>Limitar o acesso dos pequenos produtores ao financiamento.</t>
  </si>
  <si>
    <t>Substituir integralmente os recursos próprios dos produtores.</t>
  </si>
  <si>
    <t>Eliminar a necessidade de assistência técnica no campo.</t>
  </si>
  <si>
    <t>Tema 6: Desenvolvimento Rural no Brasil, Tópico 1: Aspectos Iniciais de Desenvolvimento Rural, Item: Política agrícola no Brasil, Pág. 82.</t>
  </si>
  <si>
    <t>Qual modalidade de crédito rural é utilizada para financiar despesas relacionadas à compra de sementes, fertilizantes e defensivos agrícolas durante o ciclo produtivo?</t>
  </si>
  <si>
    <t>Moderinfra.</t>
  </si>
  <si>
    <t>O crédito rural de custeio destina-se ao financiamento das despesas correntes e dos custos variáveis do ciclo produtivo. Entre esses gastos estão a aquisição de sementes, fertilizantes, defensivos agrícolas e outros insumos necessários para a produção agropecuária.</t>
  </si>
  <si>
    <t xml:space="preserve">O crédito rural é o principal instrumento da política agrícola nacional e possui diversos objetivos, entre eles estimular investimentos rurais, aumentar a produtividade, fortalecer o setor agropecuário, promover a geração de renda e incentivar o uso racional dos recursos naturais. </t>
  </si>
  <si>
    <t>Tipos de empreendimentos rurais no Brasil</t>
  </si>
  <si>
    <t>Uma propriedade rural utiliza algumas técnicas modernas de produção, recebe assistência técnica especializada e mantém parcerias com agroindústrias para comercializar sua produção. No entanto, ainda utiliza equipamentos simples em parte das atividades. Essa propriedade pode ser classificada como:</t>
  </si>
  <si>
    <t>Empreendimento rural público.</t>
  </si>
  <si>
    <t>Empreendimento rural terceirizado.</t>
  </si>
  <si>
    <t>O empreendimento rural em transição caracteriza-se pela adoção gradual de técnicas modernas de produção e gestão, mantendo ainda algumas práticas tradicionais. Nesse modelo, o produtor já busca assistência técnica, realiza parcerias com agroindústrias e procura integrar-se à cadeia produtiva para aumentar a eficiência e a competitividade da propriedade.</t>
  </si>
  <si>
    <t>Qual característica é típica de um empreendimento rural moderno?</t>
  </si>
  <si>
    <t>Uso exclusivo de ferramentas rudimentares e baixa produtividade.</t>
  </si>
  <si>
    <t>Resistência à adoção de novas técnicas de produção.</t>
  </si>
  <si>
    <t>Produção voltada apenas ao autoconsumo.</t>
  </si>
  <si>
    <t>Integração com a cadeia produtiva e utilização de tecnologias de gestão.</t>
  </si>
  <si>
    <t>Dependência exclusiva de assistência técnica externa.</t>
  </si>
  <si>
    <t>O empreendimento rural moderno caracteriza-se pela integração com os demais agentes da cadeia produtiva, pelo uso de tecnologias de gestão e pela capacidade de adaptar a produção às demandas dos consumidores. Além disso, utiliza equipamentos modernos e busca continuamente aumentar a produtividade e a competitividade.</t>
  </si>
  <si>
    <t>Um produtor rural utiliza enxadas e equipamentos rudimentares, apresenta baixa produtividade e demonstra resistência à adoção de novas tecnologias. Segundo a classificação estudada na apostila, esse empreendimento é considerado:</t>
  </si>
  <si>
    <t>O empreendimento rural tradicional utiliza equipamentos agrícolas rudimentares, apresenta baixa produtividade e possui pouca flexibilidade quanto à adoção de novas técnicas de produção. Em geral, os produtores utilizam os recursos produtivos de forma limitada e mantêm baixo nível de integração com a cadeia produtiva.</t>
  </si>
  <si>
    <t>Qual característica diferencia um empreendimento rural em transição de um empreendimento rural tradicional?</t>
  </si>
  <si>
    <t>Integração parcial com a cadeia produtiva e adoção de técnicas administrativas.</t>
  </si>
  <si>
    <t>Produção voltada somente para exportação.</t>
  </si>
  <si>
    <t>Utilização obrigatória de agricultura orgânica.</t>
  </si>
  <si>
    <t>Substituição total da mão de obra por máquinas.</t>
  </si>
  <si>
    <t>O empreendimento rural em transição já utiliza algumas técnicas modernas de produção, adota práticas de gestão e busca estabelecer relações com agroindústrias e outros agentes da cadeia produtiva. Essas características o diferenciam do empreendimento tradicional, que apresenta baixa modernização e menor integração com o mercado.</t>
  </si>
  <si>
    <t>Uma propriedade leiteira recebe assistência técnica, comercializa sua produção com uma agroindústria regional e utiliza algumas tecnologias de manejo, mas ainda emprega equipamentos simples em determinadas atividades. Essa propriedade é um exemplo de:</t>
  </si>
  <si>
    <t>Empreendimento rural industrial.</t>
  </si>
  <si>
    <t>Empreendimento rural coletivo.</t>
  </si>
  <si>
    <t>O empreendimento rural em transição apresenta características intermediárias entre os modelos tradicional e moderno. Os produtores utilizam algumas tecnologias de produção e gestão, recebem assistência técnica e buscam integração com a cadeia produtiva, embora ainda mantenham práticas e equipamentos mais simples em parte das atividades.</t>
  </si>
  <si>
    <t>Qual dimensão do desenvolvimento sustentável está relacionada ao uso racional dos recursos naturais e à preservação ambiental para as futuras gerações?</t>
  </si>
  <si>
    <t>Social.</t>
  </si>
  <si>
    <t>Econômica.</t>
  </si>
  <si>
    <t>Ecológica.</t>
  </si>
  <si>
    <t>Espacial.</t>
  </si>
  <si>
    <t>Cultural.</t>
  </si>
  <si>
    <t>A dimensão ecológica do desenvolvimento sustentável enfatiza o uso racional dos recursos naturais, a preservação ambiental e a conservação dos recursos produtivos para as próximas gerações. Seu objetivo é promover o desenvolvimento econômico com o menor impacto ambiental possível.</t>
  </si>
  <si>
    <t>A dimensão social do desenvolvimento sustentável tem como principal objetivo:</t>
  </si>
  <si>
    <t>Aumentar o Produto Interno Bruto e reduzir a dependência externa.</t>
  </si>
  <si>
    <t>Promover maior distribuição de renda e ampliar as oportunidades de emprego.</t>
  </si>
  <si>
    <t>Estimular a uniformização cultural entre os povos.</t>
  </si>
  <si>
    <t>Organizar a distribuição geográfica da população.</t>
  </si>
  <si>
    <t>Preservar exclusivamente os recursos naturais.</t>
  </si>
  <si>
    <t>A dimensão social do desenvolvimento sustentável busca promover maior distribuição de renda e ampliar as oportunidades de emprego para a população. O objetivo é reduzir desigualdades sociais e melhorar a qualidade de vida das pessoas.</t>
  </si>
  <si>
    <t>Qual dimensão da sustentabilidade está associada ao aumento da produção, da riqueza social e à redução da dependência externa do país?</t>
  </si>
  <si>
    <t>A dimensão econômica do desenvolvimento sustentável está relacionada ao aumento da produção e da riqueza social, contribuindo para a redução da dependência externa e para o fortalecimento da economia nacional. O crescimento econômico deve ocorrer de forma equilibrada e alinhada às demais dimensões da sustentabilidade.</t>
  </si>
  <si>
    <t>A dimensão espacial do desenvolvimento sustentável busca:</t>
  </si>
  <si>
    <t>Preservar os recursos naturais para as futuras gerações.</t>
  </si>
  <si>
    <t>Valorizar a diversidade cultural dos povos.</t>
  </si>
  <si>
    <t>Melhorar a distribuição geográfica da produção e da população no território.</t>
  </si>
  <si>
    <t>Aumentar a produtividade agropecuária.</t>
  </si>
  <si>
    <t>Estimular exclusivamente o crescimento urbano.</t>
  </si>
  <si>
    <t>A dimensão espacial procura promover uma melhor distribuição geográfica da produção e da população ao longo do território nacional, evitando grandes aglomerações e reduzindo problemas urbanos relacionados à moradia, mobilidade e infraestrutura.</t>
  </si>
  <si>
    <t>Segundo a dimensão cultural do desenvolvimento sustentável, é necessário:</t>
  </si>
  <si>
    <t>Uniformizar os hábitos e costumes da população.</t>
  </si>
  <si>
    <t>Desconsiderar as características regionais.</t>
  </si>
  <si>
    <t>Valorizar a diversidade cultural e os valores das diferentes sociedades.</t>
  </si>
  <si>
    <t>Concentrar a produção em grandes centros urbanos.</t>
  </si>
  <si>
    <t>Substituir práticas tradicionais por tecnologias modernas.</t>
  </si>
  <si>
    <t>A dimensão cultural do desenvolvimento sustentável considera os valores e a diversidade cultural dos povos, conciliando tradições locais e desenvolvimento econômico sustentável. Essa dimensão reconhece a importância das diferentes identidades culturais na construção de sociedades mais equilibradas e inclusivas.</t>
  </si>
  <si>
    <t>Conceituação de mercado</t>
  </si>
  <si>
    <t>Segundo a Economia, o termo mercado pode ser definido como:</t>
  </si>
  <si>
    <t>O local físico onde ocorrem apenas vendas de produtos agrícolas.</t>
  </si>
  <si>
    <t>O conjunto de empresas responsáveis pela produção de bens e serviços.</t>
  </si>
  <si>
    <t>O local ou as condições em que compradores e vendedores entram em contato para realizar trocas de bens e serviços.</t>
  </si>
  <si>
    <t>O ambiente virtual utilizado exclusivamente para o comércio eletrônico.</t>
  </si>
  <si>
    <t>O sistema utilizado pelo governo para controlar preços.</t>
  </si>
  <si>
    <t>Na Economia, mercado é definido como o local ou o conjunto de condições em que compradores dispostos a trocar dinheiro por bens e serviços entram em contato com os vendedores desses mesmos bens e serviços. Esse conceito não se restringe a espaços físicos, podendo incluir ambientes digitais e diferentes formas de negociação.</t>
  </si>
  <si>
    <t>Tema 2: Estudo dos Mercados, Tópico 1: Conceituação de mercado, Item: Conceito de mercado, Pág. 26.</t>
  </si>
  <si>
    <t>Quando se afirma que um mercado está em expansão, isso significa que:</t>
  </si>
  <si>
    <t>Há redução na produção e comercialização de bens e serviços.</t>
  </si>
  <si>
    <t>Está ocorrendo aumento na produção e na comercialização de bens e serviços.</t>
  </si>
  <si>
    <t>Os consumidores estão reduzindo seus gastos.</t>
  </si>
  <si>
    <t>O número de empresas no mercado está diminuindo.</t>
  </si>
  <si>
    <t>Os preços estão sendo controlados pelo governo.</t>
  </si>
  <si>
    <t>Um mercado em expansão é caracterizado pelo aumento da produção e da comercialização de bens e serviços na economia. Esse cenário geralmente está associado ao crescimento da atividade econômica e à ampliação das oportunidades de negócios.</t>
  </si>
  <si>
    <t>Tema 2: Estudo dos Mercados, Tópico 1: Conceituação de mercado, Item: Mercado em expansão, Pág. 26.</t>
  </si>
  <si>
    <t>Uma redução contínua na produção e na comercialização de bens e serviços caracteriza qual situação de mercado?</t>
  </si>
  <si>
    <t>Mercado em equilíbrio.</t>
  </si>
  <si>
    <t>Mercado em expansão.</t>
  </si>
  <si>
    <t>Mercado competitivo.</t>
  </si>
  <si>
    <t>Mercado em contração.</t>
  </si>
  <si>
    <t>Mercado monopolista.</t>
  </si>
  <si>
    <t>Quando ocorre diminuição na produção e na comercialização de bens e serviços, diz-se que o mercado está em contração. Esse cenário pode indicar desaceleração econômica e redução da atividade produtiva.</t>
  </si>
  <si>
    <t>Tema 2: Estudo dos Mercados, Tópico 1: Conceituação de mercado, Item: Mercado em contração, Pág. 26.</t>
  </si>
  <si>
    <t>Qual alternativa apresenta corretamente a diferença entre mercado em expansão e mercado em contração?</t>
  </si>
  <si>
    <t>No mercado em expansão, os preços diminuem; no mercado em contração, os preços aumentam.</t>
  </si>
  <si>
    <t>O mercado em expansão possui mais empresas, enquanto o mercado em contração possui menos consumidores.</t>
  </si>
  <si>
    <t>O mercado em expansão apresenta aumento da produção e comercialização, enquanto o mercado em contração apresenta redução dessas atividades.</t>
  </si>
  <si>
    <t>O mercado em expansão ocorre apenas no comércio eletrônico, enquanto o mercado em contração ocorre no comércio tradicional.</t>
  </si>
  <si>
    <t>O mercado em expansão é controlado pelo governo, enquanto o mercado em contração é controlado pelas empresas.</t>
  </si>
  <si>
    <t>O mercado em expansão é caracterizado pelo aumento da produção e da comercialização de bens e serviços. Já o mercado em contração ocorre quando há redução dessas atividades econômicas. Esses conceitos ajudam a compreender o comportamento da economia em diferentes momentos.</t>
  </si>
  <si>
    <t>Tema 2: Estudo dos Mercados, Tópico 1: Conceituação de mercado, Item: Mercado em expansão e mercado em contração, Pág. 26.</t>
  </si>
  <si>
    <t>O comércio eletrônico, também conhecido como e-commerce, é caracterizado por:</t>
  </si>
  <si>
    <t>Transações realizadas exclusivamente em lojas físicas.</t>
  </si>
  <si>
    <t>Vendas realizadas apenas entre empresas.</t>
  </si>
  <si>
    <t>Negociações comerciais realizadas por meio de equipamentos eletrônicos, como computadores e smartphones.</t>
  </si>
  <si>
    <t>Compras realizadas apenas por órgãos governamentais.</t>
  </si>
  <si>
    <t>Sistemas de troca sem utilização de dinheiro.</t>
  </si>
  <si>
    <t>O e-commerce corresponde às transações comerciais realizadas de forma não presencial por meio de equipamentos eletrônicos, como computadores, tablets e smartphones. Essa modalidade amplia as possibilidades de interação entre compradores e vendedores, criando novas formas de mercado.</t>
  </si>
  <si>
    <t>Tema 2: Estudo dos Mercados, Tópico 1: Conceituação de mercado, Item: E-commerce, Pág. 26.</t>
  </si>
  <si>
    <t>Qual característica da concorrência perfeita é definida pela inexistência de barreiras para a entrada ou saída de empresas no mercado?</t>
  </si>
  <si>
    <t>Atomização.</t>
  </si>
  <si>
    <t>Homogeneidade.</t>
  </si>
  <si>
    <t>Mobilidade.</t>
  </si>
  <si>
    <t>Permeabilidade.</t>
  </si>
  <si>
    <t>Transparência.</t>
  </si>
  <si>
    <t>A permeabilidade é a característica da concorrência perfeita que representa a inexistência de barreiras técnicas, financeiras ou legais para a entrada e a saída de empresas no mercado. Isso permite que novos agentes econômicos ingressem ou deixem o setor com facilidade, aumentando a competitividade.</t>
  </si>
  <si>
    <t>Na estrutura de concorrência perfeita, a característica denominada atomização significa que:</t>
  </si>
  <si>
    <t>Os produtos são diferenciados entre as empresas.</t>
  </si>
  <si>
    <t>Existe apenas um vendedor no mercado.</t>
  </si>
  <si>
    <t>O número de compradores e vendedores é grande o suficiente para que nenhum deles influencie o preço de mercado.</t>
  </si>
  <si>
    <t>As empresas possuem livre acesso às informações do mercado.</t>
  </si>
  <si>
    <t>Não existem barreiras para a entrada de novas empresas.</t>
  </si>
  <si>
    <t>A atomização ocorre quando há um grande número de compradores e vendedores no mercado, impedindo que qualquer agente econômico exerça influência significativa sobre o preço. Dessa forma, o preço é determinado pela interação entre oferta e demanda.</t>
  </si>
  <si>
    <t>Em uma estrutura de concorrência perfeita, a homogeneidade dos produtos significa que:</t>
  </si>
  <si>
    <t>Os consumidores possuem informações limitadas sobre os preços.</t>
  </si>
  <si>
    <t>Os produtos comercializados apresentam características exclusivas.</t>
  </si>
  <si>
    <t>As empresas estabelecem acordos para definir preços.</t>
  </si>
  <si>
    <t>Os bens e serviços são semelhantes e podem ser substituídos entre si sem diferenças percebidas pelos consumidores.</t>
  </si>
  <si>
    <t>Existe apenas uma empresa ofertando o produto.</t>
  </si>
  <si>
    <t>A homogeneidade é uma característica da concorrência perfeita em que os produtos e serviços comercializados são considerados substitutos perfeitos. Isso significa que os consumidores não percebem diferenças relevantes entre os produtos oferecidos pelas diversas empresas.</t>
  </si>
  <si>
    <t>Qual característica da concorrência perfeita garante que compradores e vendedores tenham amplo acesso às informações sobre preços e métodos de produção?</t>
  </si>
  <si>
    <t>Unicidade.</t>
  </si>
  <si>
    <t>Interdependência.</t>
  </si>
  <si>
    <t>A transparência é a característica da concorrência perfeita que assegura amplo acesso às informações sobre preços, custos e métodos de produção. Esse fluxo de informações contribui para a tomada de decisão dos agentes econômicos e favorece a eficiência do mercado.</t>
  </si>
  <si>
    <t>Qual das alternativas apresenta uma característica típica do monopólio?</t>
  </si>
  <si>
    <t>Existência de muitas empresas concorrentes.</t>
  </si>
  <si>
    <t>Livre entrada de novos concorrentes no mercado.</t>
  </si>
  <si>
    <t>Presença de um único vendedor e existência de barreiras à entrada de novas empresas.</t>
  </si>
  <si>
    <t>Produtos homogêneos e ausência de poder de mercado.</t>
  </si>
  <si>
    <t>Grande número de compradores e vendedores sem influência sobre os preços.</t>
  </si>
  <si>
    <t>O monopólio caracteriza-se pela presença de uma única empresa ofertante, ausência de concorrentes diretos e existência de barreiras que dificultam a entrada de novas firmas. Nessa estrutura, a empresa monopolista possui elevado poder para influenciar preços e condições de mercado.</t>
  </si>
  <si>
    <t>Segundo a Lei da Demanda, o que ocorre com a quantidade demandada de um produto quando seu preço diminui, mantendo-se constantes as demais variáveis?</t>
  </si>
  <si>
    <t>A quantidade demandada diminui.</t>
  </si>
  <si>
    <t>A quantidade demandada aumenta.</t>
  </si>
  <si>
    <t>A quantidade ofertada aumenta.</t>
  </si>
  <si>
    <t>A oferta do produto diminui.</t>
  </si>
  <si>
    <t>A curva de demanda desloca-se para a esquerda.</t>
  </si>
  <si>
    <t>De acordo com a Lei da Demanda, mantendo-se constantes as demais variáveis (ceteris paribus), existe uma relação inversa entre preço e quantidade demandada. Assim, quando o preço de um bem diminui, a quantidade demandada aumenta. Por exemplo, se o preço da saca de milho utilizada na alimentação animal cair, os produtores podem aumentar a quantidade adquirida.</t>
  </si>
  <si>
    <t>Tema 3: Teoria do Consumidor, Tópico 1: Análise Mercadológica de Oferta e de Demanda, Item: Lei da Demanda, Pág. 38.</t>
  </si>
  <si>
    <t>Uma redução no preço da saca de milho de R$ 60,00 para R$ 50,00 levou os avicultores a comprar maior quantidade do produto para produção de ração. Esse exemplo representa:</t>
  </si>
  <si>
    <t>Deslocamento da curva de demanda.</t>
  </si>
  <si>
    <t>Deslocamento da curva de oferta.</t>
  </si>
  <si>
    <t>Quando ocorre alteração no preço do próprio produto, há mudança apenas na quantidade demandada, caracterizando um movimento ao longo da curva de demanda. No exemplo, a redução no preço do milho aumentou a quantidade demandada pelos avicultores, sem alterar a posição da curva de demanda.</t>
  </si>
  <si>
    <t>Tema 3: Teoria do Consumidor, Tópico 1: Análise Mercadológica de Oferta e de Demanda, Item: Movimento ao longo da curva de demanda, Pág. 40.</t>
  </si>
  <si>
    <t>Segundo a Lei da Oferta, o que tende a acontecer com a quantidade ofertada de um produto quando seu preço aumenta, mantendo-se constantes as demais variáveis?</t>
  </si>
  <si>
    <t>A quantidade ofertada diminui.</t>
  </si>
  <si>
    <t>A curva de oferta desloca-se para a esquerda.</t>
  </si>
  <si>
    <t>O custo de produção diminui automaticamente.</t>
  </si>
  <si>
    <t>De acordo com a Lei da Oferta, mantendo-se constantes as demais variáveis (ceteris paribus), quando o preço de um bem aumenta, a quantidade ofertada pelos produtores também aumenta. Isso ocorre porque preços mais elevados tornam a atividade mais atrativa economicamente.</t>
  </si>
  <si>
    <t>Se o preço pago ao produtor de leite aumentar de R$ 1,50 para R$ 1,80 por litro, levando mais produtores a comercializarem leite com os laticínios, esse comportamento representa:</t>
  </si>
  <si>
    <t>Redução da quantidade ofertada.</t>
  </si>
  <si>
    <t>Alterações no preço do próprio produto provocam mudanças apenas na quantidade ofertada, gerando movimento ao longo da curva de oferta. No exemplo, o aumento do preço do leite incentiva os produtores a ofertarem maiores quantidades ao mercado.</t>
  </si>
  <si>
    <t>Tema 3: Teoria do Consumidor, Tópico 1: Análise Mercadológica de Oferta e de Demanda, Item: Movimento ao longo da curva de oferta, Pág. 44.</t>
  </si>
  <si>
    <t>A expressão ceteris paribus, utilizada nas Leis da Oferta e da Demanda, significa que:</t>
  </si>
  <si>
    <t>Os preços devem permanecer constantes.</t>
  </si>
  <si>
    <t>Todas as variáveis econômicas devem variar simultaneamente.</t>
  </si>
  <si>
    <t>Todas as demais variáveis permanecem constantes para analisar o efeito de apenas uma variável.</t>
  </si>
  <si>
    <t>O mercado deve permanecer em equilíbrio.</t>
  </si>
  <si>
    <t>Apenas a renda do consumidor permanece constante.</t>
  </si>
  <si>
    <t>A expressão latina ceteris paribus significa "mantidas constantes as demais variáveis". Esse princípio é utilizado para analisar o efeito isolado de uma variável sobre outra. Assim, ao estudar a influência do preço sobre a demanda ou a oferta, supõe-se que fatores como renda, preferências, tecnologia e custos permaneçam inalterados.</t>
  </si>
  <si>
    <t>Tema 3: Teoria do Consumidor, Tópico 1: Análise Mercadológica de Oferta e de Demanda, Item: Ceteris paribus, Pág. 38.</t>
  </si>
  <si>
    <t>Como são classificados os bens ou serviços consumidos conjuntamente, de forma que a variação no consumo de um afeta diretamente a demanda pelo outro?</t>
  </si>
  <si>
    <t>Produtos substitutos.</t>
  </si>
  <si>
    <t>Produtos concorrentes.</t>
  </si>
  <si>
    <t>Produtos complementares.</t>
  </si>
  <si>
    <t>Fatores de produção.</t>
  </si>
  <si>
    <t>Produtos complementares são aqueles utilizados ou consumidos em conjunto, de modo que a demanda de um está diretamente relacionada à demanda do outro. Quando o preço de um produto complementar aumenta, a demanda de ambos tende a diminuir. Exemplos clássicos são pão e manteiga, impressora e cartucho de tinta, além de café e açúcar.</t>
  </si>
  <si>
    <t>Tema 3: Teoria do Consumidor, Tópico 1: Análise Mercadológica de Oferta e de Demanda, Item: Produtos complementares, Pág. 37.</t>
  </si>
  <si>
    <t>Uma redução no preço das impressoras tende a aumentar a demanda por cartuchos de tinta porque esses produtos são classificados como:</t>
  </si>
  <si>
    <t>Bens inferiores.</t>
  </si>
  <si>
    <t>Produtos complementares são consumidos conjuntamente. Assim, quando o preço de um deles diminui, sua demanda tende a aumentar e, consequentemente, a demanda pelo produto complementar também cresce. É o caso das impressoras e dos cartuchos de tinta.</t>
  </si>
  <si>
    <t>Qual alternativa apresenta um exemplo de produtos substitutos?</t>
  </si>
  <si>
    <t>Impressora e cartucho de tinta.</t>
  </si>
  <si>
    <t>Pão e manteiga.</t>
  </si>
  <si>
    <t>Café e açúcar.</t>
  </si>
  <si>
    <t>Margarina e manteiga.</t>
  </si>
  <si>
    <t>Celular e carregador.</t>
  </si>
  <si>
    <t>Produtos substitutos são aqueles cujo consumo pode ser substituído por outro produto semelhante. Quando o preço de um produto aumenta, a demanda pelo produto substituto tende a crescer. Margarina e manteiga são exemplos de bens substitutos, assim como carne bovina e carne de soja.</t>
  </si>
  <si>
    <t>Tema 3: Teoria do Consumidor, Tópico 1: Análise Mercadológica de Oferta e de Demanda, Item: Produtos substitutos, Pág. 37.</t>
  </si>
  <si>
    <t>Quando o preço da manteiga aumenta e os consumidores passam a comprar mais margarina, ocorre um exemplo de:</t>
  </si>
  <si>
    <t>Produtos substitutos são aqueles que podem substituir outros no consumo. Quando o preço da manteiga aumenta, parte dos consumidores passa a adquirir margarina, elevando sua demanda. Esse comportamento demonstra a relação de substituição entre esses bens.</t>
  </si>
  <si>
    <t>Bens de capital diferenciam-se dos produtos complementares porque:</t>
  </si>
  <si>
    <t>São utilizados diretamente para satisfazer necessidades dos consumidores.</t>
  </si>
  <si>
    <t>São empregados no processo produtivo para produzir outros bens e serviços.</t>
  </si>
  <si>
    <t>São consumidos conjuntamente com outros produtos.</t>
  </si>
  <si>
    <t>Podem substituir qualquer produto de consumo.</t>
  </si>
  <si>
    <t>São bens destinados exclusivamente ao mercado financeiro.</t>
  </si>
  <si>
    <t>Bens de capital são aqueles utilizados pelas empresas no processo produtivo para produzir outros bens e serviços, como máquinas, equipamentos e instalações. Já os produtos complementares são consumidos em conjunto pelos consumidores finais.</t>
  </si>
  <si>
    <t>Tema 3: Teoria do Consumidor, Tópico 1: Análise Mercadológica de Oferta e de Demanda, Item: Produtos complementares e bens de capital, Pág. 37.</t>
  </si>
  <si>
    <t>Um fabricante de televisores reduziu significativamente o preço de um de seus modelos e observou forte aumento na quantidade vendida. Segundo a teoria da elasticidade, qual característica explica esse comportamento?</t>
  </si>
  <si>
    <t>O produto possui poucos substitutos e baixo valor unitário.</t>
  </si>
  <si>
    <t>O produto é essencial para a sobrevivência dos consumidores.</t>
  </si>
  <si>
    <t>O produto possui elevado valor e diversas marcas substitutas.</t>
  </si>
  <si>
    <t>O produto apresenta demanda perfeitamente inelástica.</t>
  </si>
  <si>
    <t>O produto é comercializado apenas em mercados locais.</t>
  </si>
  <si>
    <t>Bens de maior valor e que possuem muitas opções substitutas tendem a apresentar demanda mais elástica. Assim, reduções no preço de televisores costumam provocar aumentos significativos na quantidade demandada, pois os consumidores são mais sensíveis às variações de preço nesse tipo de produto.</t>
  </si>
  <si>
    <t>Tema 4: Elasticidade e Sistema de Preços, Tópico 1: Conceitos básicos, Item: Sensibilidade da demanda, Pág. 53.</t>
  </si>
  <si>
    <t>Qual característica tende a aumentar a elasticidade-preço da demanda de um produto?</t>
  </si>
  <si>
    <t>Ausência de produtos substitutos.</t>
  </si>
  <si>
    <t>Baixo valor em relação ao orçamento do consumidor.</t>
  </si>
  <si>
    <t>Consumo essencial e contínuo.</t>
  </si>
  <si>
    <t>Grande quantidade de marcas e produtos substitutos disponíveis.</t>
  </si>
  <si>
    <t>Perecibilidade do produto.</t>
  </si>
  <si>
    <t>A elasticidade-preço da demanda tende a ser maior quando existem diversos produtos substitutos no mercado. Nessa situação, os consumidores podem migrar facilmente para outras opções caso ocorram aumentos de preços.</t>
  </si>
  <si>
    <t>O preço de equilíbrio de um produto agropecuário é determinado quando:</t>
  </si>
  <si>
    <t>Os custos de produção são iguais à receita obtida.</t>
  </si>
  <si>
    <t>As quantidades ofertadas superam as quantidades demandadas.</t>
  </si>
  <si>
    <t>O governo estabelece um preço mínimo para o produto.</t>
  </si>
  <si>
    <t>As curvas de oferta e demanda se cruzam no mercado.</t>
  </si>
  <si>
    <t>Os produtores decidem o valor de venda do produto.</t>
  </si>
  <si>
    <t>O preço de equilíbrio é definido pela interação entre as curvas de oferta e demanda. No ponto em que as duas curvas se cruzam, a quantidade demandada é igual à quantidade ofertada, estabelecendo o preço de equilíbrio do mercado.</t>
  </si>
  <si>
    <t>Tema 4: Elasticidade e Sistema de Preços, Tópico 2: Sistema de preços dos produtos agropecuários, Item: Preço de equilíbrio, Pág. 53.</t>
  </si>
  <si>
    <t>A quantidade de equilíbrio de um produto agropecuário corresponde:</t>
  </si>
  <si>
    <t>À quantidade máxima que pode ser produzida.</t>
  </si>
  <si>
    <t>À quantidade comercializada quando oferta e demanda se igualam.</t>
  </si>
  <si>
    <t>À quantidade produzida durante a safra.</t>
  </si>
  <si>
    <t>À quantidade armazenada pelo produtor rural.</t>
  </si>
  <si>
    <t>À quantidade demandada em períodos de escassez.</t>
  </si>
  <si>
    <t>A quantidade de equilíbrio é o volume comercializado no mercado quando a quantidade demandada é exatamente igual à quantidade ofertada. Nesse ponto, não há excesso nem escassez do produto.</t>
  </si>
  <si>
    <t>Tema 4: Elasticidade e Sistema de Preços, Tópico 2: Sistema de preços dos produtos agropecuários, Item: Quantidade de equilíbrio, Pág. 53.</t>
  </si>
  <si>
    <t>Em mercados agropecuários que se aproximam da concorrência perfeita, os preços são definidos principalmente por:</t>
  </si>
  <si>
    <t>Negociações individuais entre produtores e consumidores.</t>
  </si>
  <si>
    <t>Intervenção governamental permanente.</t>
  </si>
  <si>
    <t>Interação entre as curvas de oferta e demanda.</t>
  </si>
  <si>
    <t>Acordos entre grandes empresas do setor.</t>
  </si>
  <si>
    <t>Custos fixos das propriedades rurais.</t>
  </si>
  <si>
    <t>Os mercados agropecuários tendem a se aproximar da estrutura de concorrência perfeita. Neles, os preços são determinados pela interação entre oferta e demanda, refletindo as condições de mercado em cada período.</t>
  </si>
  <si>
    <t>Produtores de frango costumam ter menor capacidade de negociar preços devido ao curto ciclo de vida das aves e aos elevados custos de manutenção do plantel. Qual característica específica do mercado rural explica essa situação?</t>
  </si>
  <si>
    <t>Preço administrado pelo governo.</t>
  </si>
  <si>
    <t>Alta concentração de mercado.</t>
  </si>
  <si>
    <t>A perecibilidade dos produtos agropecuários limita a capacidade de armazenamento e aumenta a necessidade de comercialização em períodos específicos. No caso da avicultura, o curto ciclo de vida das aves e os elevados custos de manutenção reduzem o poder de barganha dos produtores.</t>
  </si>
  <si>
    <t>Tema 4: Elasticidade e Sistema de Preços, Tópico 2: Sistema de preços dos produtos agropecuários, Item: Perecibilidade dos produtos, Pág. 54.</t>
  </si>
  <si>
    <t>Um produtor de frutas precisa vender rapidamente sua colheita para evitar perdas decorrentes da deterioração do produto. Essa situação evidencia qual característica dos mercados rurais?</t>
  </si>
  <si>
    <t>Alta elasticidade-preço da demanda.</t>
  </si>
  <si>
    <t>Presença de muitos substitutos.</t>
  </si>
  <si>
    <t>Perecibilidade dos produtos agropecuários.</t>
  </si>
  <si>
    <t>Existência de preços administrados.</t>
  </si>
  <si>
    <t>A perecibilidade é uma característica marcante dos produtos agropecuários. Como muitos produtos possuem prazo reduzido para comercialização, os produtores frequentemente precisam vender rapidamente sua produção, mesmo em momentos de preços menos favoráveis.</t>
  </si>
  <si>
    <t>A redução expressiva no preço de um automóvel provocou forte aumento na procura pelo modelo. Esse comportamento indica que a demanda pelo produto é:</t>
  </si>
  <si>
    <t>Inelástica, pois a quantidade demandada variou pouco.</t>
  </si>
  <si>
    <t>Unitária, pois preço e quantidade variaram igualmente.</t>
  </si>
  <si>
    <t>Elástica, pois a quantidade demandada respondeu intensamente à variação de preço.</t>
  </si>
  <si>
    <t>Perfeitamente inelástica, pois os consumidores não alteraram seu comportamento.</t>
  </si>
  <si>
    <t>Independente do preço praticado.</t>
  </si>
  <si>
    <t>Produtos de alto valor agregado e com diversas opções substitutas tendem a apresentar demanda elástica. Nesses casos, pequenas ou moderadas reduções de preço podem gerar aumentos significativos na quantidade demandada.</t>
  </si>
  <si>
    <t>Tema 4: Elasticidade e Sistema de Preços, Tópico 1: Conceitos básicos, Item: Elasticidade da demanda, Pág. 53.</t>
  </si>
  <si>
    <t>Quando a quantidade ofertada de um produto agropecuário é maior que a quantidade demandada, qual tendência é esperada para o preço até que o mercado retorne ao equilíbrio?</t>
  </si>
  <si>
    <t>O preço tende a aumentar.</t>
  </si>
  <si>
    <t>O preço tende a permanecer constante.</t>
  </si>
  <si>
    <t>O preço tende a diminuir.</t>
  </si>
  <si>
    <t>O preço passa a ser definido pelo governo.</t>
  </si>
  <si>
    <t>O preço deixa de influenciar a demanda.</t>
  </si>
  <si>
    <t>Quando ocorre excesso de oferta, os produtores tendem a reduzir os preços para estimular as vendas e eliminar o excedente. Esse processo continua até que o mercado retorne ao ponto de equilíbrio entre oferta e demanda.</t>
  </si>
  <si>
    <t>A elasticidade permite analisar:</t>
  </si>
  <si>
    <t>A relação entre os custos de produção e a lucratividade da empresa.</t>
  </si>
  <si>
    <t>A variação da produtividade agrícola ao longo do tempo.</t>
  </si>
  <si>
    <t>A relação entre mudanças nos preços e alterações nas quantidades demandadas ou ofertadas.</t>
  </si>
  <si>
    <t>A influência exclusiva do clima sobre a produção rural.</t>
  </si>
  <si>
    <t>O nível de mecanização das propriedades agrícolas.</t>
  </si>
  <si>
    <t>A elasticidade é utilizada para analisar como mudanças nos preços afetam as quantidades demandadas ou ofertadas de bens e serviços. Esse conceito auxilia na compreensão da sensibilidade dos consumidores e produtores diante das oscilações de preços no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</si>
</sst>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9">
    <fill>
      <patternFill patternType="none"/>
    </fill>
    <fill>
      <patternFill patternType="gray125"/>
    </fill>
    <fill>
      <patternFill patternType="solid">
        <fgColor theme="5" tint="0.39997558519241921"/>
        <bgColor rgb="FFFFC000"/>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7" tint="0.59999389629810485"/>
        <bgColor theme="4" tint="0.59999389629810485"/>
      </patternFill>
    </fill>
    <fill>
      <patternFill patternType="solid">
        <fgColor theme="7" tint="0.59999389629810485"/>
        <bgColor theme="4" tint="0.79998168889431442"/>
      </patternFill>
    </fill>
    <fill>
      <patternFill patternType="solid">
        <fgColor theme="7" tint="0.59999389629810485"/>
        <bgColor indexed="64"/>
      </patternFill>
    </fill>
    <fill>
      <patternFill patternType="solid">
        <fgColor theme="7" tint="0.79998168889431442"/>
        <bgColor theme="4" tint="0.59999389629810485"/>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theme="8" tint="0.59999389629810485"/>
        <bgColor theme="4" tint="0.59999389629810485"/>
      </patternFill>
    </fill>
    <fill>
      <patternFill patternType="solid">
        <fgColor theme="8" tint="0.59999389629810485"/>
        <bgColor theme="4" tint="0.79998168889431442"/>
      </patternFill>
    </fill>
    <fill>
      <patternFill patternType="solid">
        <fgColor theme="8" tint="0.59999389629810485"/>
        <bgColor indexed="64"/>
      </patternFill>
    </fill>
    <fill>
      <patternFill patternType="solid">
        <fgColor theme="8" tint="0.79998168889431442"/>
        <bgColor theme="4" tint="0.59999389629810485"/>
      </patternFill>
    </fill>
    <fill>
      <patternFill patternType="solid">
        <fgColor theme="8" tint="0.79998168889431442"/>
        <bgColor theme="4" tint="0.79998168889431442"/>
      </patternFill>
    </fill>
    <fill>
      <patternFill patternType="solid">
        <fgColor theme="8" tint="0.79998168889431442"/>
        <bgColor indexed="64"/>
      </patternFill>
    </fill>
    <fill>
      <patternFill patternType="solid">
        <fgColor theme="2" tint="-0.249977111117893"/>
        <bgColor theme="4" tint="0.59999389629810485"/>
      </patternFill>
    </fill>
    <fill>
      <patternFill patternType="solid">
        <fgColor theme="2" tint="-0.249977111117893"/>
        <bgColor theme="4" tint="0.79998168889431442"/>
      </patternFill>
    </fill>
    <fill>
      <patternFill patternType="solid">
        <fgColor theme="2" tint="-0.249977111117893"/>
        <bgColor indexed="64"/>
      </patternFill>
    </fill>
    <fill>
      <patternFill patternType="solid">
        <fgColor theme="2" tint="-9.9978637043366805E-2"/>
        <bgColor theme="4" tint="0.59999389629810485"/>
      </patternFill>
    </fill>
    <fill>
      <patternFill patternType="solid">
        <fgColor theme="2" tint="-9.9978637043366805E-2"/>
        <bgColor theme="4" tint="0.79998168889431442"/>
      </patternFill>
    </fill>
    <fill>
      <patternFill patternType="solid">
        <fgColor theme="2" tint="-9.9978637043366805E-2"/>
        <bgColor indexed="64"/>
      </patternFill>
    </fill>
    <fill>
      <patternFill patternType="solid">
        <fgColor theme="6" tint="0.59999389629810485"/>
        <bgColor theme="4" tint="0.59999389629810485"/>
      </patternFill>
    </fill>
    <fill>
      <patternFill patternType="solid">
        <fgColor theme="6" tint="0.59999389629810485"/>
        <bgColor theme="4" tint="0.79998168889431442"/>
      </patternFill>
    </fill>
    <fill>
      <patternFill patternType="solid">
        <fgColor theme="6" tint="0.59999389629810485"/>
        <bgColor indexed="64"/>
      </patternFill>
    </fill>
    <fill>
      <patternFill patternType="solid">
        <fgColor theme="6" tint="0.79998168889431442"/>
        <bgColor theme="4" tint="0.59999389629810485"/>
      </patternFill>
    </fill>
    <fill>
      <patternFill patternType="solid">
        <fgColor theme="6" tint="0.79998168889431442"/>
        <bgColor theme="4" tint="0.79998168889431442"/>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vertical="top"/>
    </xf>
    <xf numFmtId="0" fontId="0" fillId="0" borderId="0" xfId="0" applyAlignment="1">
      <alignment horizontal="center" vertical="top"/>
    </xf>
    <xf numFmtId="0" fontId="0" fillId="3" borderId="1" xfId="0" applyFill="1" applyBorder="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0" fillId="4" borderId="1" xfId="0" applyFill="1" applyBorder="1" applyAlignment="1">
      <alignment vertical="top" wrapText="1"/>
    </xf>
    <xf numFmtId="0" fontId="0" fillId="4" borderId="1" xfId="0" applyFill="1" applyBorder="1" applyAlignment="1">
      <alignment horizontal="center" vertical="top" wrapText="1"/>
    </xf>
    <xf numFmtId="0" fontId="0" fillId="3" borderId="1" xfId="0" applyFill="1" applyBorder="1" applyAlignment="1">
      <alignment vertical="top" wrapText="1"/>
    </xf>
    <xf numFmtId="0" fontId="0" fillId="4"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6" borderId="1" xfId="0" applyFill="1" applyBorder="1" applyAlignment="1">
      <alignment horizontal="center" vertical="top" wrapText="1"/>
    </xf>
    <xf numFmtId="0" fontId="0" fillId="8" borderId="1" xfId="0" applyFill="1" applyBorder="1" applyAlignment="1">
      <alignment horizontal="left" vertical="top" wrapText="1"/>
    </xf>
    <xf numFmtId="0" fontId="0" fillId="9" borderId="1" xfId="0" applyFill="1" applyBorder="1" applyAlignment="1">
      <alignment horizontal="left" vertical="top" wrapText="1"/>
    </xf>
    <xf numFmtId="0" fontId="0" fillId="10" borderId="1" xfId="0" applyFill="1" applyBorder="1" applyAlignment="1">
      <alignment horizontal="left" vertical="top" wrapText="1"/>
    </xf>
    <xf numFmtId="0" fontId="0" fillId="9" borderId="1" xfId="0" applyFill="1" applyBorder="1" applyAlignment="1">
      <alignment horizontal="center" vertical="top" wrapText="1"/>
    </xf>
    <xf numFmtId="0" fontId="0" fillId="11" borderId="1" xfId="0" applyFill="1" applyBorder="1" applyAlignment="1">
      <alignment horizontal="left" vertical="top" wrapText="1"/>
    </xf>
    <xf numFmtId="0" fontId="0" fillId="12" borderId="1" xfId="0" applyFill="1" applyBorder="1" applyAlignment="1">
      <alignment horizontal="left" vertical="top" wrapText="1"/>
    </xf>
    <xf numFmtId="0" fontId="0" fillId="13" borderId="1" xfId="0" applyFill="1" applyBorder="1" applyAlignment="1">
      <alignment horizontal="left" vertical="top" wrapText="1"/>
    </xf>
    <xf numFmtId="0" fontId="0" fillId="14" borderId="1" xfId="0" applyFill="1" applyBorder="1" applyAlignment="1">
      <alignment horizontal="left" vertical="top" wrapText="1"/>
    </xf>
    <xf numFmtId="0" fontId="0" fillId="15" borderId="1" xfId="0" applyFill="1" applyBorder="1" applyAlignment="1">
      <alignment horizontal="left" vertical="top" wrapText="1"/>
    </xf>
    <xf numFmtId="0" fontId="0" fillId="16" borderId="1" xfId="0" applyFill="1" applyBorder="1" applyAlignment="1">
      <alignment horizontal="left" vertical="top" wrapText="1"/>
    </xf>
    <xf numFmtId="0" fontId="0" fillId="17" borderId="1" xfId="0" applyFill="1" applyBorder="1" applyAlignment="1">
      <alignment horizontal="left" vertical="top" wrapText="1"/>
    </xf>
    <xf numFmtId="0" fontId="0" fillId="18" borderId="1" xfId="0" applyFill="1" applyBorder="1" applyAlignment="1">
      <alignment horizontal="left" vertical="top" wrapText="1"/>
    </xf>
    <xf numFmtId="0" fontId="0" fillId="19" borderId="1" xfId="0" applyFill="1" applyBorder="1" applyAlignment="1">
      <alignment horizontal="left" vertical="top" wrapText="1"/>
    </xf>
    <xf numFmtId="0" fontId="0" fillId="18" borderId="1" xfId="0" applyFill="1" applyBorder="1" applyAlignment="1">
      <alignment horizontal="center" vertical="top" wrapText="1"/>
    </xf>
    <xf numFmtId="0" fontId="0" fillId="20" borderId="1" xfId="0" applyFill="1" applyBorder="1" applyAlignment="1">
      <alignment horizontal="left" vertical="top" wrapText="1"/>
    </xf>
    <xf numFmtId="0" fontId="0" fillId="21" borderId="1" xfId="0" applyFill="1" applyBorder="1" applyAlignment="1">
      <alignment horizontal="left" vertical="top" wrapText="1"/>
    </xf>
    <xf numFmtId="0" fontId="0" fillId="22" borderId="1" xfId="0" applyFill="1" applyBorder="1" applyAlignment="1">
      <alignment horizontal="left" vertical="top" wrapText="1"/>
    </xf>
    <xf numFmtId="0" fontId="0" fillId="21" borderId="1" xfId="0" applyFill="1" applyBorder="1" applyAlignment="1">
      <alignment horizontal="center" vertical="top" wrapText="1"/>
    </xf>
    <xf numFmtId="0" fontId="0" fillId="23" borderId="1" xfId="0" applyFill="1" applyBorder="1" applyAlignment="1">
      <alignment horizontal="left" vertical="top" wrapText="1"/>
    </xf>
    <xf numFmtId="0" fontId="0" fillId="24" borderId="1" xfId="0" applyFill="1" applyBorder="1" applyAlignment="1">
      <alignment horizontal="left" vertical="top" wrapText="1"/>
    </xf>
    <xf numFmtId="0" fontId="0" fillId="25" borderId="1" xfId="0" applyFill="1" applyBorder="1" applyAlignment="1">
      <alignment horizontal="left" vertical="top" wrapText="1"/>
    </xf>
    <xf numFmtId="0" fontId="0" fillId="26" borderId="1" xfId="0" applyFill="1" applyBorder="1" applyAlignment="1">
      <alignment horizontal="left" vertical="top" wrapText="1"/>
    </xf>
    <xf numFmtId="0" fontId="0" fillId="27" borderId="1" xfId="0" applyFill="1" applyBorder="1" applyAlignment="1">
      <alignment horizontal="left" vertical="top" wrapText="1"/>
    </xf>
    <xf numFmtId="0" fontId="0" fillId="28"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1">
    <cellStyle name="Normal" xfId="0" builtinId="0"/>
  </cellStyles>
  <dxfs count="2">
    <dxf>
      <alignment horizontal="center"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70BD71-5B01-422C-A9BE-0D6E982B54C3}" name="Tabela2" displayName="Tabela2" ref="A1:B6" totalsRowShown="0">
  <autoFilter ref="A1:B6" xr:uid="{E170BD71-5B01-422C-A9BE-0D6E982B54C3}"/>
  <tableColumns count="2">
    <tableColumn id="1" xr3:uid="{D8B77E41-9450-47CE-97F9-4F3DECBFCC06}" name="LETRA" dataDxfId="1"/>
    <tableColumn id="2" xr3:uid="{09D672CB-2D6D-4C68-A76E-041AC23F9D31}" name="IN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6"/>
  <sheetViews>
    <sheetView tabSelected="1" topLeftCell="A94" zoomScale="80" zoomScaleNormal="80" workbookViewId="0">
      <selection activeCell="F3" sqref="F3"/>
    </sheetView>
  </sheetViews>
  <sheetFormatPr defaultColWidth="0" defaultRowHeight="15" x14ac:dyDescent="0.25"/>
  <cols>
    <col min="1" max="1" width="12.140625" style="1" customWidth="1"/>
    <col min="2" max="2" width="13" style="1" customWidth="1"/>
    <col min="3" max="3" width="8.28515625" style="1" customWidth="1"/>
    <col min="4" max="4" width="12.28515625" style="1" customWidth="1"/>
    <col min="5" max="5" width="8.28515625" style="1" customWidth="1"/>
    <col min="6" max="6" width="32.5703125" style="1" customWidth="1"/>
    <col min="7" max="7" width="13.140625" style="1" customWidth="1"/>
    <col min="8" max="11" width="10.7109375" style="1" customWidth="1"/>
    <col min="12" max="12" width="13.85546875" style="2" hidden="1" customWidth="1"/>
    <col min="13" max="13" width="9.28515625" style="2" hidden="1" customWidth="1"/>
    <col min="14" max="14" width="11.85546875" style="2" customWidth="1"/>
    <col min="15" max="15" width="67" style="1" customWidth="1"/>
    <col min="16" max="16" width="17.5703125" style="1" customWidth="1"/>
    <col min="17" max="17" width="10.28515625" style="12" customWidth="1"/>
    <col min="18" max="18" width="0" style="1" hidden="1"/>
    <col min="19" max="16384" width="9.140625" style="1" hidden="1"/>
  </cols>
  <sheetData>
    <row r="1" spans="1:17" ht="30" x14ac:dyDescent="0.25">
      <c r="A1" s="41" t="s">
        <v>0</v>
      </c>
      <c r="B1" s="42" t="s">
        <v>1</v>
      </c>
      <c r="C1" s="42" t="s">
        <v>2</v>
      </c>
      <c r="D1" s="42" t="s">
        <v>319</v>
      </c>
      <c r="E1" s="42" t="s">
        <v>318</v>
      </c>
      <c r="F1" s="42" t="s">
        <v>3</v>
      </c>
      <c r="G1" s="41" t="s">
        <v>4</v>
      </c>
      <c r="H1" s="41" t="s">
        <v>5</v>
      </c>
      <c r="I1" s="41" t="s">
        <v>6</v>
      </c>
      <c r="J1" s="41" t="s">
        <v>7</v>
      </c>
      <c r="K1" s="41" t="s">
        <v>8</v>
      </c>
      <c r="L1" s="41" t="s">
        <v>316</v>
      </c>
      <c r="M1" s="41" t="s">
        <v>317</v>
      </c>
      <c r="N1" s="41" t="s">
        <v>9</v>
      </c>
      <c r="O1" s="41" t="s">
        <v>10</v>
      </c>
      <c r="P1" s="41" t="s">
        <v>11</v>
      </c>
      <c r="Q1" s="42" t="s">
        <v>12</v>
      </c>
    </row>
    <row r="2" spans="1:17" ht="120" x14ac:dyDescent="0.25">
      <c r="A2" s="6" t="s">
        <v>13</v>
      </c>
      <c r="B2" s="6" t="s">
        <v>14</v>
      </c>
      <c r="C2" s="6" t="s">
        <v>15</v>
      </c>
      <c r="D2" s="6" t="s">
        <v>16</v>
      </c>
      <c r="E2" s="6" t="s">
        <v>383</v>
      </c>
      <c r="F2" s="6" t="s">
        <v>18</v>
      </c>
      <c r="G2" s="6" t="s">
        <v>19</v>
      </c>
      <c r="H2" s="6" t="s">
        <v>20</v>
      </c>
      <c r="I2" s="6" t="s">
        <v>21</v>
      </c>
      <c r="J2" s="6" t="s">
        <v>22</v>
      </c>
      <c r="K2" s="6" t="s">
        <v>23</v>
      </c>
      <c r="L2" s="7" t="s">
        <v>6</v>
      </c>
      <c r="M2" s="7">
        <f>_xlfn.XLOOKUP(questoes!$L2,Tabela2[LETRA],Tabela2[IND],"",0)</f>
        <v>2</v>
      </c>
      <c r="N2" s="7">
        <v>2</v>
      </c>
      <c r="O2" s="6" t="s">
        <v>322</v>
      </c>
      <c r="P2" s="8" t="s">
        <v>332</v>
      </c>
      <c r="Q2" s="9">
        <v>10</v>
      </c>
    </row>
    <row r="3" spans="1:17" ht="135" x14ac:dyDescent="0.25">
      <c r="A3" s="8" t="s">
        <v>25</v>
      </c>
      <c r="B3" s="8" t="s">
        <v>14</v>
      </c>
      <c r="C3" s="8" t="s">
        <v>15</v>
      </c>
      <c r="D3" s="8" t="s">
        <v>16</v>
      </c>
      <c r="E3" s="8" t="s">
        <v>17</v>
      </c>
      <c r="F3" s="8" t="s">
        <v>26</v>
      </c>
      <c r="G3" s="8" t="s">
        <v>27</v>
      </c>
      <c r="H3" s="8" t="s">
        <v>28</v>
      </c>
      <c r="I3" s="8" t="s">
        <v>29</v>
      </c>
      <c r="J3" s="8" t="s">
        <v>30</v>
      </c>
      <c r="K3" s="8" t="s">
        <v>31</v>
      </c>
      <c r="L3" s="3" t="s">
        <v>4</v>
      </c>
      <c r="M3" s="3">
        <f>_xlfn.XLOOKUP(questoes!$L3,Tabela2[LETRA],Tabela2[IND],"",0)</f>
        <v>0</v>
      </c>
      <c r="N3" s="3">
        <v>0</v>
      </c>
      <c r="O3" s="8" t="s">
        <v>325</v>
      </c>
      <c r="P3" s="8" t="s">
        <v>332</v>
      </c>
      <c r="Q3" s="10">
        <v>10</v>
      </c>
    </row>
    <row r="4" spans="1:17" ht="150" x14ac:dyDescent="0.25">
      <c r="A4" s="6" t="s">
        <v>32</v>
      </c>
      <c r="B4" s="6" t="s">
        <v>14</v>
      </c>
      <c r="C4" s="6" t="s">
        <v>15</v>
      </c>
      <c r="D4" s="6" t="s">
        <v>16</v>
      </c>
      <c r="E4" s="6" t="s">
        <v>33</v>
      </c>
      <c r="F4" s="6" t="s">
        <v>34</v>
      </c>
      <c r="G4" s="6" t="s">
        <v>35</v>
      </c>
      <c r="H4" s="6" t="s">
        <v>36</v>
      </c>
      <c r="I4" s="6" t="s">
        <v>37</v>
      </c>
      <c r="J4" s="6" t="s">
        <v>38</v>
      </c>
      <c r="K4" s="6" t="s">
        <v>39</v>
      </c>
      <c r="L4" s="7" t="s">
        <v>5</v>
      </c>
      <c r="M4" s="7">
        <f>_xlfn.XLOOKUP(questoes!$L4,Tabela2[LETRA],Tabela2[IND],"",0)</f>
        <v>1</v>
      </c>
      <c r="N4" s="7">
        <v>1</v>
      </c>
      <c r="O4" s="6" t="s">
        <v>382</v>
      </c>
      <c r="P4" s="6" t="s">
        <v>332</v>
      </c>
      <c r="Q4" s="9">
        <v>10</v>
      </c>
    </row>
    <row r="5" spans="1:17" ht="135" x14ac:dyDescent="0.25">
      <c r="A5" s="8" t="s">
        <v>40</v>
      </c>
      <c r="B5" s="8" t="s">
        <v>14</v>
      </c>
      <c r="C5" s="8" t="s">
        <v>15</v>
      </c>
      <c r="D5" s="8" t="s">
        <v>16</v>
      </c>
      <c r="E5" s="8" t="s">
        <v>17</v>
      </c>
      <c r="F5" s="8" t="s">
        <v>41</v>
      </c>
      <c r="G5" s="8" t="s">
        <v>42</v>
      </c>
      <c r="H5" s="8" t="s">
        <v>43</v>
      </c>
      <c r="I5" s="8" t="s">
        <v>44</v>
      </c>
      <c r="J5" s="8" t="s">
        <v>45</v>
      </c>
      <c r="K5" s="8" t="s">
        <v>46</v>
      </c>
      <c r="L5" s="3" t="s">
        <v>5</v>
      </c>
      <c r="M5" s="3">
        <f>_xlfn.XLOOKUP(questoes!$L5,Tabela2[LETRA],Tabela2[IND],"",0)</f>
        <v>1</v>
      </c>
      <c r="N5" s="3">
        <v>1</v>
      </c>
      <c r="O5" s="8" t="s">
        <v>326</v>
      </c>
      <c r="P5" s="8" t="s">
        <v>333</v>
      </c>
      <c r="Q5" s="10">
        <v>10</v>
      </c>
    </row>
    <row r="6" spans="1:17" ht="105" x14ac:dyDescent="0.25">
      <c r="A6" s="6" t="s">
        <v>47</v>
      </c>
      <c r="B6" s="6" t="s">
        <v>14</v>
      </c>
      <c r="C6" s="6" t="s">
        <v>15</v>
      </c>
      <c r="D6" s="6" t="s">
        <v>16</v>
      </c>
      <c r="E6" s="6" t="s">
        <v>33</v>
      </c>
      <c r="F6" s="6" t="s">
        <v>48</v>
      </c>
      <c r="G6" s="6" t="s">
        <v>49</v>
      </c>
      <c r="H6" s="6" t="s">
        <v>50</v>
      </c>
      <c r="I6" s="6" t="s">
        <v>51</v>
      </c>
      <c r="J6" s="6" t="s">
        <v>52</v>
      </c>
      <c r="K6" s="6" t="s">
        <v>53</v>
      </c>
      <c r="L6" s="7" t="s">
        <v>6</v>
      </c>
      <c r="M6" s="7">
        <f>_xlfn.XLOOKUP(questoes!$L6,Tabela2[LETRA],Tabela2[IND],"",0)</f>
        <v>2</v>
      </c>
      <c r="N6" s="7">
        <v>2</v>
      </c>
      <c r="O6" s="6" t="s">
        <v>320</v>
      </c>
      <c r="P6" s="6" t="s">
        <v>334</v>
      </c>
      <c r="Q6" s="9">
        <v>11</v>
      </c>
    </row>
    <row r="7" spans="1:17" ht="90" x14ac:dyDescent="0.25">
      <c r="A7" s="8" t="s">
        <v>54</v>
      </c>
      <c r="B7" s="8" t="s">
        <v>14</v>
      </c>
      <c r="C7" s="8" t="s">
        <v>15</v>
      </c>
      <c r="D7" s="8" t="s">
        <v>16</v>
      </c>
      <c r="E7" s="8" t="s">
        <v>17</v>
      </c>
      <c r="F7" s="8" t="s">
        <v>55</v>
      </c>
      <c r="G7" s="8" t="s">
        <v>50</v>
      </c>
      <c r="H7" s="8" t="s">
        <v>49</v>
      </c>
      <c r="I7" s="8" t="s">
        <v>56</v>
      </c>
      <c r="J7" s="8" t="s">
        <v>57</v>
      </c>
      <c r="K7" s="8" t="s">
        <v>58</v>
      </c>
      <c r="L7" s="3" t="s">
        <v>5</v>
      </c>
      <c r="M7" s="3">
        <f>_xlfn.XLOOKUP(questoes!$L7,Tabela2[LETRA],Tabela2[IND],"",0)</f>
        <v>1</v>
      </c>
      <c r="N7" s="3">
        <v>1</v>
      </c>
      <c r="O7" s="8" t="s">
        <v>381</v>
      </c>
      <c r="P7" s="8" t="s">
        <v>380</v>
      </c>
      <c r="Q7" s="10">
        <v>11</v>
      </c>
    </row>
    <row r="8" spans="1:17" ht="105" x14ac:dyDescent="0.25">
      <c r="A8" s="6" t="s">
        <v>59</v>
      </c>
      <c r="B8" s="6" t="s">
        <v>14</v>
      </c>
      <c r="C8" s="6" t="s">
        <v>15</v>
      </c>
      <c r="D8" s="6" t="s">
        <v>16</v>
      </c>
      <c r="E8" s="6" t="s">
        <v>33</v>
      </c>
      <c r="F8" s="6" t="s">
        <v>60</v>
      </c>
      <c r="G8" s="6" t="s">
        <v>49</v>
      </c>
      <c r="H8" s="6" t="s">
        <v>61</v>
      </c>
      <c r="I8" s="6" t="s">
        <v>52</v>
      </c>
      <c r="J8" s="6" t="s">
        <v>50</v>
      </c>
      <c r="K8" s="6" t="s">
        <v>62</v>
      </c>
      <c r="L8" s="7" t="s">
        <v>7</v>
      </c>
      <c r="M8" s="7">
        <f>_xlfn.XLOOKUP(questoes!$L8,Tabela2[LETRA],Tabela2[IND],"",0)</f>
        <v>3</v>
      </c>
      <c r="N8" s="7">
        <v>3</v>
      </c>
      <c r="O8" s="6" t="s">
        <v>324</v>
      </c>
      <c r="P8" s="6" t="s">
        <v>334</v>
      </c>
      <c r="Q8" s="9">
        <v>11</v>
      </c>
    </row>
    <row r="9" spans="1:17" ht="105" x14ac:dyDescent="0.25">
      <c r="A9" s="8" t="s">
        <v>63</v>
      </c>
      <c r="B9" s="8" t="s">
        <v>14</v>
      </c>
      <c r="C9" s="8" t="s">
        <v>15</v>
      </c>
      <c r="D9" s="8" t="s">
        <v>16</v>
      </c>
      <c r="E9" s="8" t="s">
        <v>383</v>
      </c>
      <c r="F9" s="8" t="s">
        <v>64</v>
      </c>
      <c r="G9" s="8" t="s">
        <v>65</v>
      </c>
      <c r="H9" s="8" t="s">
        <v>66</v>
      </c>
      <c r="I9" s="8" t="s">
        <v>67</v>
      </c>
      <c r="J9" s="8" t="s">
        <v>68</v>
      </c>
      <c r="K9" s="8" t="s">
        <v>69</v>
      </c>
      <c r="L9" s="3" t="s">
        <v>6</v>
      </c>
      <c r="M9" s="3">
        <f>_xlfn.XLOOKUP(questoes!$L9,Tabela2[LETRA],Tabela2[IND],"",0)</f>
        <v>2</v>
      </c>
      <c r="N9" s="3">
        <v>2</v>
      </c>
      <c r="O9" s="8" t="s">
        <v>321</v>
      </c>
      <c r="P9" s="8" t="s">
        <v>334</v>
      </c>
      <c r="Q9" s="10">
        <v>11</v>
      </c>
    </row>
    <row r="10" spans="1:17" ht="105" x14ac:dyDescent="0.25">
      <c r="A10" s="6" t="s">
        <v>70</v>
      </c>
      <c r="B10" s="6" t="s">
        <v>14</v>
      </c>
      <c r="C10" s="6" t="s">
        <v>15</v>
      </c>
      <c r="D10" s="6" t="s">
        <v>16</v>
      </c>
      <c r="E10" s="6" t="s">
        <v>33</v>
      </c>
      <c r="F10" s="6" t="s">
        <v>71</v>
      </c>
      <c r="G10" s="6" t="s">
        <v>67</v>
      </c>
      <c r="H10" s="6" t="s">
        <v>65</v>
      </c>
      <c r="I10" s="6" t="s">
        <v>72</v>
      </c>
      <c r="J10" s="6" t="s">
        <v>73</v>
      </c>
      <c r="K10" s="6" t="s">
        <v>74</v>
      </c>
      <c r="L10" s="7" t="s">
        <v>5</v>
      </c>
      <c r="M10" s="7">
        <f>_xlfn.XLOOKUP(questoes!$L10,Tabela2[LETRA],Tabela2[IND],"",0)</f>
        <v>1</v>
      </c>
      <c r="N10" s="7">
        <v>1</v>
      </c>
      <c r="O10" s="6" t="s">
        <v>379</v>
      </c>
      <c r="P10" s="6" t="s">
        <v>334</v>
      </c>
      <c r="Q10" s="9">
        <v>11</v>
      </c>
    </row>
    <row r="11" spans="1:17" ht="120" x14ac:dyDescent="0.25">
      <c r="A11" s="8" t="s">
        <v>75</v>
      </c>
      <c r="B11" s="8" t="s">
        <v>14</v>
      </c>
      <c r="C11" s="8" t="s">
        <v>15</v>
      </c>
      <c r="D11" s="8" t="s">
        <v>76</v>
      </c>
      <c r="E11" s="8" t="s">
        <v>17</v>
      </c>
      <c r="F11" s="8" t="s">
        <v>77</v>
      </c>
      <c r="G11" s="8" t="s">
        <v>78</v>
      </c>
      <c r="H11" s="8" t="s">
        <v>79</v>
      </c>
      <c r="I11" s="8" t="s">
        <v>80</v>
      </c>
      <c r="J11" s="8" t="s">
        <v>81</v>
      </c>
      <c r="K11" s="8" t="s">
        <v>82</v>
      </c>
      <c r="L11" s="3" t="s">
        <v>6</v>
      </c>
      <c r="M11" s="3">
        <f>_xlfn.XLOOKUP(questoes!$L11,Tabela2[LETRA],Tabela2[IND],"",0)</f>
        <v>2</v>
      </c>
      <c r="N11" s="3">
        <v>2</v>
      </c>
      <c r="O11" s="8" t="s">
        <v>327</v>
      </c>
      <c r="P11" s="8" t="s">
        <v>335</v>
      </c>
      <c r="Q11" s="10">
        <v>11</v>
      </c>
    </row>
    <row r="12" spans="1:17" ht="120" x14ac:dyDescent="0.25">
      <c r="A12" s="6" t="s">
        <v>84</v>
      </c>
      <c r="B12" s="6" t="s">
        <v>14</v>
      </c>
      <c r="C12" s="6" t="s">
        <v>15</v>
      </c>
      <c r="D12" s="6" t="s">
        <v>76</v>
      </c>
      <c r="E12" s="6" t="s">
        <v>17</v>
      </c>
      <c r="F12" s="6" t="s">
        <v>85</v>
      </c>
      <c r="G12" s="6" t="s">
        <v>86</v>
      </c>
      <c r="H12" s="6" t="s">
        <v>87</v>
      </c>
      <c r="I12" s="6" t="s">
        <v>88</v>
      </c>
      <c r="J12" s="6" t="s">
        <v>89</v>
      </c>
      <c r="K12" s="6" t="s">
        <v>90</v>
      </c>
      <c r="L12" s="7" t="s">
        <v>6</v>
      </c>
      <c r="M12" s="7">
        <f>_xlfn.XLOOKUP(questoes!$L12,Tabela2[LETRA],Tabela2[IND],"",0)</f>
        <v>2</v>
      </c>
      <c r="N12" s="7">
        <v>2</v>
      </c>
      <c r="O12" s="6" t="s">
        <v>328</v>
      </c>
      <c r="P12" s="6" t="s">
        <v>331</v>
      </c>
      <c r="Q12" s="9">
        <v>12</v>
      </c>
    </row>
    <row r="13" spans="1:17" ht="90" x14ac:dyDescent="0.25">
      <c r="A13" s="8" t="s">
        <v>91</v>
      </c>
      <c r="B13" s="8" t="s">
        <v>14</v>
      </c>
      <c r="C13" s="8" t="s">
        <v>15</v>
      </c>
      <c r="D13" s="8" t="s">
        <v>76</v>
      </c>
      <c r="E13" s="8" t="s">
        <v>17</v>
      </c>
      <c r="F13" s="8" t="s">
        <v>92</v>
      </c>
      <c r="G13" s="8" t="s">
        <v>93</v>
      </c>
      <c r="H13" s="8" t="s">
        <v>94</v>
      </c>
      <c r="I13" s="8" t="s">
        <v>95</v>
      </c>
      <c r="J13" s="8" t="s">
        <v>96</v>
      </c>
      <c r="K13" s="8" t="s">
        <v>97</v>
      </c>
      <c r="L13" s="3" t="s">
        <v>6</v>
      </c>
      <c r="M13" s="3">
        <f>_xlfn.XLOOKUP(questoes!$L13,Tabela2[LETRA],Tabela2[IND],"",0)</f>
        <v>2</v>
      </c>
      <c r="N13" s="3">
        <v>2</v>
      </c>
      <c r="O13" s="8" t="s">
        <v>329</v>
      </c>
      <c r="P13" s="8" t="s">
        <v>330</v>
      </c>
      <c r="Q13" s="10">
        <v>12</v>
      </c>
    </row>
    <row r="14" spans="1:17" ht="90" x14ac:dyDescent="0.25">
      <c r="A14" s="6" t="s">
        <v>98</v>
      </c>
      <c r="B14" s="6" t="s">
        <v>14</v>
      </c>
      <c r="C14" s="6" t="s">
        <v>15</v>
      </c>
      <c r="D14" s="6" t="s">
        <v>76</v>
      </c>
      <c r="E14" s="6" t="s">
        <v>17</v>
      </c>
      <c r="F14" s="6" t="s">
        <v>99</v>
      </c>
      <c r="G14" s="6" t="s">
        <v>94</v>
      </c>
      <c r="H14" s="6" t="s">
        <v>96</v>
      </c>
      <c r="I14" s="6" t="s">
        <v>93</v>
      </c>
      <c r="J14" s="6" t="s">
        <v>100</v>
      </c>
      <c r="K14" s="6" t="s">
        <v>101</v>
      </c>
      <c r="L14" s="7" t="s">
        <v>7</v>
      </c>
      <c r="M14" s="7">
        <f>_xlfn.XLOOKUP(questoes!$L14,Tabela2[LETRA],Tabela2[IND],"",0)</f>
        <v>3</v>
      </c>
      <c r="N14" s="7">
        <v>3</v>
      </c>
      <c r="O14" s="6" t="s">
        <v>378</v>
      </c>
      <c r="P14" s="6" t="s">
        <v>330</v>
      </c>
      <c r="Q14" s="9">
        <v>12</v>
      </c>
    </row>
    <row r="15" spans="1:17" ht="60" x14ac:dyDescent="0.25">
      <c r="A15" s="8" t="s">
        <v>102</v>
      </c>
      <c r="B15" s="8" t="s">
        <v>14</v>
      </c>
      <c r="C15" s="8" t="s">
        <v>15</v>
      </c>
      <c r="D15" s="8" t="s">
        <v>76</v>
      </c>
      <c r="E15" s="8" t="s">
        <v>33</v>
      </c>
      <c r="F15" s="8" t="s">
        <v>103</v>
      </c>
      <c r="G15" s="8" t="s">
        <v>104</v>
      </c>
      <c r="H15" s="8" t="s">
        <v>93</v>
      </c>
      <c r="I15" s="8" t="s">
        <v>96</v>
      </c>
      <c r="J15" s="8" t="s">
        <v>105</v>
      </c>
      <c r="K15" s="8" t="s">
        <v>101</v>
      </c>
      <c r="L15" s="3" t="s">
        <v>5</v>
      </c>
      <c r="M15" s="3">
        <f>_xlfn.XLOOKUP(questoes!$L15,Tabela2[LETRA],Tabela2[IND],"",0)</f>
        <v>1</v>
      </c>
      <c r="N15" s="3">
        <v>1</v>
      </c>
      <c r="O15" s="8" t="s">
        <v>323</v>
      </c>
      <c r="P15" s="8"/>
      <c r="Q15" s="10" t="s">
        <v>83</v>
      </c>
    </row>
    <row r="16" spans="1:17" ht="90" x14ac:dyDescent="0.25">
      <c r="A16" s="6" t="s">
        <v>106</v>
      </c>
      <c r="B16" s="6" t="s">
        <v>14</v>
      </c>
      <c r="C16" s="6" t="s">
        <v>15</v>
      </c>
      <c r="D16" s="6" t="s">
        <v>76</v>
      </c>
      <c r="E16" s="6" t="s">
        <v>33</v>
      </c>
      <c r="F16" s="6" t="s">
        <v>107</v>
      </c>
      <c r="G16" s="6" t="s">
        <v>104</v>
      </c>
      <c r="H16" s="6" t="s">
        <v>96</v>
      </c>
      <c r="I16" s="6" t="s">
        <v>94</v>
      </c>
      <c r="J16" s="6" t="s">
        <v>108</v>
      </c>
      <c r="K16" s="6" t="s">
        <v>109</v>
      </c>
      <c r="L16" s="7" t="s">
        <v>6</v>
      </c>
      <c r="M16" s="7">
        <f>_xlfn.XLOOKUP(questoes!$L16,Tabela2[LETRA],Tabela2[IND],"",0)</f>
        <v>2</v>
      </c>
      <c r="N16" s="7">
        <v>2</v>
      </c>
      <c r="O16" s="6" t="s">
        <v>337</v>
      </c>
      <c r="P16" s="6" t="s">
        <v>336</v>
      </c>
      <c r="Q16" s="9" t="s">
        <v>83</v>
      </c>
    </row>
    <row r="17" spans="1:17" ht="90" x14ac:dyDescent="0.25">
      <c r="A17" s="8" t="s">
        <v>110</v>
      </c>
      <c r="B17" s="8" t="s">
        <v>14</v>
      </c>
      <c r="C17" s="8" t="s">
        <v>15</v>
      </c>
      <c r="D17" s="8" t="s">
        <v>76</v>
      </c>
      <c r="E17" s="8" t="s">
        <v>17</v>
      </c>
      <c r="F17" s="8" t="s">
        <v>111</v>
      </c>
      <c r="G17" s="8" t="s">
        <v>112</v>
      </c>
      <c r="H17" s="8" t="s">
        <v>113</v>
      </c>
      <c r="I17" s="8" t="s">
        <v>114</v>
      </c>
      <c r="J17" s="8" t="s">
        <v>115</v>
      </c>
      <c r="K17" s="8" t="s">
        <v>116</v>
      </c>
      <c r="L17" s="3" t="s">
        <v>6</v>
      </c>
      <c r="M17" s="3">
        <f>_xlfn.XLOOKUP(questoes!$L17,Tabela2[LETRA],Tabela2[IND],"",0)</f>
        <v>2</v>
      </c>
      <c r="N17" s="3">
        <v>2</v>
      </c>
      <c r="O17" s="8" t="s">
        <v>338</v>
      </c>
      <c r="P17" s="8" t="s">
        <v>336</v>
      </c>
      <c r="Q17" s="10" t="s">
        <v>83</v>
      </c>
    </row>
    <row r="18" spans="1:17" ht="75" x14ac:dyDescent="0.25">
      <c r="A18" s="6" t="s">
        <v>117</v>
      </c>
      <c r="B18" s="6" t="s">
        <v>14</v>
      </c>
      <c r="C18" s="6" t="s">
        <v>15</v>
      </c>
      <c r="D18" s="6" t="s">
        <v>118</v>
      </c>
      <c r="E18" s="6" t="s">
        <v>33</v>
      </c>
      <c r="F18" s="6" t="s">
        <v>119</v>
      </c>
      <c r="G18" s="6" t="s">
        <v>120</v>
      </c>
      <c r="H18" s="6" t="s">
        <v>121</v>
      </c>
      <c r="I18" s="6" t="s">
        <v>122</v>
      </c>
      <c r="J18" s="6" t="s">
        <v>123</v>
      </c>
      <c r="K18" s="6" t="s">
        <v>124</v>
      </c>
      <c r="L18" s="7" t="s">
        <v>5</v>
      </c>
      <c r="M18" s="7">
        <f>_xlfn.XLOOKUP(questoes!$L18,Tabela2[LETRA],Tabela2[IND],"",0)</f>
        <v>1</v>
      </c>
      <c r="N18" s="7">
        <v>1</v>
      </c>
      <c r="O18" s="6" t="s">
        <v>339</v>
      </c>
      <c r="P18" s="6" t="s">
        <v>340</v>
      </c>
      <c r="Q18" s="9" t="s">
        <v>125</v>
      </c>
    </row>
    <row r="19" spans="1:17" ht="75" x14ac:dyDescent="0.25">
      <c r="A19" s="8" t="s">
        <v>126</v>
      </c>
      <c r="B19" s="8" t="s">
        <v>14</v>
      </c>
      <c r="C19" s="8" t="s">
        <v>15</v>
      </c>
      <c r="D19" s="8" t="s">
        <v>118</v>
      </c>
      <c r="E19" s="8" t="s">
        <v>127</v>
      </c>
      <c r="F19" s="8" t="s">
        <v>128</v>
      </c>
      <c r="G19" s="8" t="s">
        <v>129</v>
      </c>
      <c r="H19" s="8" t="s">
        <v>130</v>
      </c>
      <c r="I19" s="8" t="s">
        <v>131</v>
      </c>
      <c r="J19" s="8" t="s">
        <v>132</v>
      </c>
      <c r="K19" s="8" t="s">
        <v>133</v>
      </c>
      <c r="L19" s="3" t="s">
        <v>6</v>
      </c>
      <c r="M19" s="3">
        <f>_xlfn.XLOOKUP(questoes!$L19,Tabela2[LETRA],Tabela2[IND],"",0)</f>
        <v>2</v>
      </c>
      <c r="N19" s="3">
        <v>2</v>
      </c>
      <c r="O19" s="8" t="s">
        <v>341</v>
      </c>
      <c r="P19" s="8" t="s">
        <v>340</v>
      </c>
      <c r="Q19" s="10" t="s">
        <v>125</v>
      </c>
    </row>
    <row r="20" spans="1:17" ht="75" x14ac:dyDescent="0.25">
      <c r="A20" s="6" t="s">
        <v>134</v>
      </c>
      <c r="B20" s="6" t="s">
        <v>14</v>
      </c>
      <c r="C20" s="6" t="s">
        <v>15</v>
      </c>
      <c r="D20" s="6" t="s">
        <v>118</v>
      </c>
      <c r="E20" s="6" t="s">
        <v>17</v>
      </c>
      <c r="F20" s="6" t="s">
        <v>135</v>
      </c>
      <c r="G20" s="6" t="s">
        <v>131</v>
      </c>
      <c r="H20" s="6" t="s">
        <v>130</v>
      </c>
      <c r="I20" s="6" t="s">
        <v>129</v>
      </c>
      <c r="J20" s="6" t="s">
        <v>136</v>
      </c>
      <c r="K20" s="6" t="s">
        <v>133</v>
      </c>
      <c r="L20" s="7" t="s">
        <v>5</v>
      </c>
      <c r="M20" s="7">
        <f>_xlfn.XLOOKUP(questoes!$L20,Tabela2[LETRA],Tabela2[IND],"",0)</f>
        <v>1</v>
      </c>
      <c r="N20" s="7">
        <v>1</v>
      </c>
      <c r="O20" s="6" t="s">
        <v>342</v>
      </c>
      <c r="P20" s="6" t="s">
        <v>340</v>
      </c>
      <c r="Q20" s="9" t="s">
        <v>125</v>
      </c>
    </row>
    <row r="21" spans="1:17" ht="75" x14ac:dyDescent="0.25">
      <c r="A21" s="8" t="s">
        <v>137</v>
      </c>
      <c r="B21" s="8" t="s">
        <v>14</v>
      </c>
      <c r="C21" s="8" t="s">
        <v>15</v>
      </c>
      <c r="D21" s="8" t="s">
        <v>118</v>
      </c>
      <c r="E21" s="8" t="s">
        <v>33</v>
      </c>
      <c r="F21" s="8" t="s">
        <v>138</v>
      </c>
      <c r="G21" s="8" t="s">
        <v>131</v>
      </c>
      <c r="H21" s="8" t="s">
        <v>130</v>
      </c>
      <c r="I21" s="8" t="s">
        <v>139</v>
      </c>
      <c r="J21" s="8" t="s">
        <v>129</v>
      </c>
      <c r="K21" s="8" t="s">
        <v>132</v>
      </c>
      <c r="L21" s="3" t="s">
        <v>7</v>
      </c>
      <c r="M21" s="3">
        <f>_xlfn.XLOOKUP(questoes!$L21,Tabela2[LETRA],Tabela2[IND],"",0)</f>
        <v>3</v>
      </c>
      <c r="N21" s="3">
        <v>3</v>
      </c>
      <c r="O21" s="8" t="s">
        <v>343</v>
      </c>
      <c r="P21" s="8" t="s">
        <v>340</v>
      </c>
      <c r="Q21" s="10" t="s">
        <v>125</v>
      </c>
    </row>
    <row r="22" spans="1:17" ht="75" x14ac:dyDescent="0.25">
      <c r="A22" s="6" t="s">
        <v>140</v>
      </c>
      <c r="B22" s="6" t="s">
        <v>14</v>
      </c>
      <c r="C22" s="6" t="s">
        <v>15</v>
      </c>
      <c r="D22" s="6" t="s">
        <v>141</v>
      </c>
      <c r="E22" s="6" t="s">
        <v>17</v>
      </c>
      <c r="F22" s="6" t="s">
        <v>142</v>
      </c>
      <c r="G22" s="6" t="s">
        <v>143</v>
      </c>
      <c r="H22" s="6" t="s">
        <v>122</v>
      </c>
      <c r="I22" s="6" t="s">
        <v>144</v>
      </c>
      <c r="J22" s="6" t="s">
        <v>145</v>
      </c>
      <c r="K22" s="6" t="s">
        <v>146</v>
      </c>
      <c r="L22" s="7" t="s">
        <v>5</v>
      </c>
      <c r="M22" s="7">
        <f>_xlfn.XLOOKUP(questoes!$L22,Tabela2[LETRA],Tabela2[IND],"",0)</f>
        <v>1</v>
      </c>
      <c r="N22" s="7">
        <v>1</v>
      </c>
      <c r="O22" s="6" t="s">
        <v>344</v>
      </c>
      <c r="P22" s="6" t="s">
        <v>345</v>
      </c>
      <c r="Q22" s="9" t="s">
        <v>147</v>
      </c>
    </row>
    <row r="23" spans="1:17" ht="90" x14ac:dyDescent="0.25">
      <c r="A23" s="8" t="s">
        <v>148</v>
      </c>
      <c r="B23" s="8" t="s">
        <v>14</v>
      </c>
      <c r="C23" s="8" t="s">
        <v>15</v>
      </c>
      <c r="D23" s="8" t="s">
        <v>141</v>
      </c>
      <c r="E23" s="8" t="s">
        <v>33</v>
      </c>
      <c r="F23" s="8" t="s">
        <v>149</v>
      </c>
      <c r="G23" s="8" t="s">
        <v>150</v>
      </c>
      <c r="H23" s="8" t="s">
        <v>151</v>
      </c>
      <c r="I23" s="8" t="s">
        <v>152</v>
      </c>
      <c r="J23" s="8" t="s">
        <v>153</v>
      </c>
      <c r="K23" s="8" t="s">
        <v>154</v>
      </c>
      <c r="L23" s="3" t="s">
        <v>5</v>
      </c>
      <c r="M23" s="3">
        <f>_xlfn.XLOOKUP(questoes!$L23,Tabela2[LETRA],Tabela2[IND],"",0)</f>
        <v>1</v>
      </c>
      <c r="N23" s="3">
        <v>1</v>
      </c>
      <c r="O23" s="8" t="s">
        <v>347</v>
      </c>
      <c r="P23" s="8" t="s">
        <v>346</v>
      </c>
      <c r="Q23" s="10" t="s">
        <v>147</v>
      </c>
    </row>
    <row r="24" spans="1:17" ht="75" x14ac:dyDescent="0.25">
      <c r="A24" s="6" t="s">
        <v>155</v>
      </c>
      <c r="B24" s="6" t="s">
        <v>14</v>
      </c>
      <c r="C24" s="6" t="s">
        <v>15</v>
      </c>
      <c r="D24" s="6" t="s">
        <v>141</v>
      </c>
      <c r="E24" s="6" t="s">
        <v>33</v>
      </c>
      <c r="F24" s="6" t="s">
        <v>156</v>
      </c>
      <c r="G24" s="6" t="s">
        <v>157</v>
      </c>
      <c r="H24" s="6" t="s">
        <v>158</v>
      </c>
      <c r="I24" s="6" t="s">
        <v>159</v>
      </c>
      <c r="J24" s="6" t="s">
        <v>160</v>
      </c>
      <c r="K24" s="6" t="s">
        <v>161</v>
      </c>
      <c r="L24" s="7" t="s">
        <v>5</v>
      </c>
      <c r="M24" s="7">
        <f>_xlfn.XLOOKUP(questoes!$L24,Tabela2[LETRA],Tabela2[IND],"",0)</f>
        <v>1</v>
      </c>
      <c r="N24" s="7">
        <v>1</v>
      </c>
      <c r="O24" s="6" t="s">
        <v>348</v>
      </c>
      <c r="P24" s="6" t="s">
        <v>345</v>
      </c>
      <c r="Q24" s="9" t="s">
        <v>147</v>
      </c>
    </row>
    <row r="25" spans="1:17" ht="75" x14ac:dyDescent="0.25">
      <c r="A25" s="8" t="s">
        <v>162</v>
      </c>
      <c r="B25" s="8" t="s">
        <v>14</v>
      </c>
      <c r="C25" s="8" t="s">
        <v>15</v>
      </c>
      <c r="D25" s="8" t="s">
        <v>141</v>
      </c>
      <c r="E25" s="8" t="s">
        <v>127</v>
      </c>
      <c r="F25" s="8" t="s">
        <v>163</v>
      </c>
      <c r="G25" s="8" t="s">
        <v>164</v>
      </c>
      <c r="H25" s="8" t="s">
        <v>165</v>
      </c>
      <c r="I25" s="8" t="s">
        <v>166</v>
      </c>
      <c r="J25" s="8" t="s">
        <v>167</v>
      </c>
      <c r="K25" s="8" t="s">
        <v>168</v>
      </c>
      <c r="L25" s="3" t="s">
        <v>5</v>
      </c>
      <c r="M25" s="3">
        <f>_xlfn.XLOOKUP(questoes!$L25,Tabela2[LETRA],Tabela2[IND],"",0)</f>
        <v>1</v>
      </c>
      <c r="N25" s="3">
        <v>1</v>
      </c>
      <c r="O25" s="8" t="s">
        <v>349</v>
      </c>
      <c r="P25" s="8" t="s">
        <v>345</v>
      </c>
      <c r="Q25" s="10" t="s">
        <v>147</v>
      </c>
    </row>
    <row r="26" spans="1:17" ht="150" x14ac:dyDescent="0.25">
      <c r="A26" s="6" t="s">
        <v>169</v>
      </c>
      <c r="B26" s="6" t="s">
        <v>14</v>
      </c>
      <c r="C26" s="6" t="s">
        <v>15</v>
      </c>
      <c r="D26" s="6" t="s">
        <v>170</v>
      </c>
      <c r="E26" s="6" t="s">
        <v>33</v>
      </c>
      <c r="F26" s="6" t="s">
        <v>171</v>
      </c>
      <c r="G26" s="6" t="s">
        <v>172</v>
      </c>
      <c r="H26" s="6" t="s">
        <v>173</v>
      </c>
      <c r="I26" s="6" t="s">
        <v>174</v>
      </c>
      <c r="J26" s="6" t="s">
        <v>175</v>
      </c>
      <c r="K26" s="6" t="s">
        <v>176</v>
      </c>
      <c r="L26" s="7" t="s">
        <v>5</v>
      </c>
      <c r="M26" s="7">
        <f>_xlfn.XLOOKUP(questoes!$L26,Tabela2[LETRA],Tabela2[IND],"",0)</f>
        <v>1</v>
      </c>
      <c r="N26" s="7">
        <v>1</v>
      </c>
      <c r="O26" s="6" t="s">
        <v>351</v>
      </c>
      <c r="P26" s="6" t="s">
        <v>350</v>
      </c>
      <c r="Q26" s="9" t="s">
        <v>177</v>
      </c>
    </row>
    <row r="27" spans="1:17" ht="105" x14ac:dyDescent="0.25">
      <c r="A27" s="8" t="s">
        <v>178</v>
      </c>
      <c r="B27" s="8" t="s">
        <v>14</v>
      </c>
      <c r="C27" s="8" t="s">
        <v>15</v>
      </c>
      <c r="D27" s="8" t="s">
        <v>170</v>
      </c>
      <c r="E27" s="8" t="s">
        <v>127</v>
      </c>
      <c r="F27" s="8" t="s">
        <v>179</v>
      </c>
      <c r="G27" s="8" t="s">
        <v>180</v>
      </c>
      <c r="H27" s="8" t="s">
        <v>181</v>
      </c>
      <c r="I27" s="8" t="s">
        <v>182</v>
      </c>
      <c r="J27" s="8" t="s">
        <v>183</v>
      </c>
      <c r="K27" s="8" t="s">
        <v>184</v>
      </c>
      <c r="L27" s="3" t="s">
        <v>6</v>
      </c>
      <c r="M27" s="3">
        <f>_xlfn.XLOOKUP(questoes!$L27,Tabela2[LETRA],Tabela2[IND],"",0)</f>
        <v>2</v>
      </c>
      <c r="N27" s="3">
        <v>2</v>
      </c>
      <c r="O27" s="8" t="s">
        <v>352</v>
      </c>
      <c r="P27" s="8" t="s">
        <v>350</v>
      </c>
      <c r="Q27" s="10" t="s">
        <v>177</v>
      </c>
    </row>
    <row r="28" spans="1:17" ht="105" x14ac:dyDescent="0.25">
      <c r="A28" s="6" t="s">
        <v>185</v>
      </c>
      <c r="B28" s="6" t="s">
        <v>14</v>
      </c>
      <c r="C28" s="6" t="s">
        <v>15</v>
      </c>
      <c r="D28" s="6" t="s">
        <v>170</v>
      </c>
      <c r="E28" s="6" t="s">
        <v>33</v>
      </c>
      <c r="F28" s="6" t="s">
        <v>186</v>
      </c>
      <c r="G28" s="6" t="s">
        <v>187</v>
      </c>
      <c r="H28" s="6" t="s">
        <v>188</v>
      </c>
      <c r="I28" s="6" t="s">
        <v>189</v>
      </c>
      <c r="J28" s="6" t="s">
        <v>190</v>
      </c>
      <c r="K28" s="6" t="s">
        <v>191</v>
      </c>
      <c r="L28" s="7" t="s">
        <v>5</v>
      </c>
      <c r="M28" s="7">
        <f>_xlfn.XLOOKUP(questoes!$L28,Tabela2[LETRA],Tabela2[IND],"",0)</f>
        <v>1</v>
      </c>
      <c r="N28" s="7">
        <v>1</v>
      </c>
      <c r="O28" s="6" t="s">
        <v>353</v>
      </c>
      <c r="P28" s="6" t="s">
        <v>350</v>
      </c>
      <c r="Q28" s="9" t="s">
        <v>177</v>
      </c>
    </row>
    <row r="29" spans="1:17" ht="105" x14ac:dyDescent="0.25">
      <c r="A29" s="8" t="s">
        <v>192</v>
      </c>
      <c r="B29" s="8" t="s">
        <v>14</v>
      </c>
      <c r="C29" s="8" t="s">
        <v>15</v>
      </c>
      <c r="D29" s="8" t="s">
        <v>170</v>
      </c>
      <c r="E29" s="8" t="s">
        <v>127</v>
      </c>
      <c r="F29" s="8" t="s">
        <v>193</v>
      </c>
      <c r="G29" s="8" t="s">
        <v>194</v>
      </c>
      <c r="H29" s="8" t="s">
        <v>195</v>
      </c>
      <c r="I29" s="8" t="s">
        <v>196</v>
      </c>
      <c r="J29" s="8" t="s">
        <v>197</v>
      </c>
      <c r="K29" s="8" t="s">
        <v>198</v>
      </c>
      <c r="L29" s="3" t="s">
        <v>6</v>
      </c>
      <c r="M29" s="3">
        <f>_xlfn.XLOOKUP(questoes!$L29,Tabela2[LETRA],Tabela2[IND],"",0)</f>
        <v>2</v>
      </c>
      <c r="N29" s="3">
        <v>2</v>
      </c>
      <c r="O29" s="8" t="s">
        <v>354</v>
      </c>
      <c r="P29" s="8" t="s">
        <v>350</v>
      </c>
      <c r="Q29" s="10" t="s">
        <v>177</v>
      </c>
    </row>
    <row r="30" spans="1:17" ht="105" x14ac:dyDescent="0.25">
      <c r="A30" s="6" t="s">
        <v>199</v>
      </c>
      <c r="B30" s="6" t="s">
        <v>14</v>
      </c>
      <c r="C30" s="6" t="s">
        <v>15</v>
      </c>
      <c r="D30" s="6" t="s">
        <v>200</v>
      </c>
      <c r="E30" s="6" t="s">
        <v>33</v>
      </c>
      <c r="F30" s="6" t="s">
        <v>201</v>
      </c>
      <c r="G30" s="6" t="s">
        <v>202</v>
      </c>
      <c r="H30" s="6" t="s">
        <v>203</v>
      </c>
      <c r="I30" s="6" t="s">
        <v>204</v>
      </c>
      <c r="J30" s="6" t="s">
        <v>205</v>
      </c>
      <c r="K30" s="6" t="s">
        <v>206</v>
      </c>
      <c r="L30" s="7" t="s">
        <v>5</v>
      </c>
      <c r="M30" s="7">
        <f>_xlfn.XLOOKUP(questoes!$L30,Tabela2[LETRA],Tabela2[IND],"",0)</f>
        <v>1</v>
      </c>
      <c r="N30" s="7">
        <v>1</v>
      </c>
      <c r="O30" s="6" t="s">
        <v>355</v>
      </c>
      <c r="P30" s="6" t="s">
        <v>356</v>
      </c>
      <c r="Q30" s="9" t="s">
        <v>207</v>
      </c>
    </row>
    <row r="31" spans="1:17" ht="135" x14ac:dyDescent="0.25">
      <c r="A31" s="8" t="s">
        <v>208</v>
      </c>
      <c r="B31" s="8" t="s">
        <v>14</v>
      </c>
      <c r="C31" s="8" t="s">
        <v>15</v>
      </c>
      <c r="D31" s="8" t="s">
        <v>200</v>
      </c>
      <c r="E31" s="8" t="s">
        <v>127</v>
      </c>
      <c r="F31" s="8" t="s">
        <v>209</v>
      </c>
      <c r="G31" s="8" t="s">
        <v>210</v>
      </c>
      <c r="H31" s="8" t="s">
        <v>211</v>
      </c>
      <c r="I31" s="8" t="s">
        <v>212</v>
      </c>
      <c r="J31" s="8" t="s">
        <v>213</v>
      </c>
      <c r="K31" s="8" t="s">
        <v>214</v>
      </c>
      <c r="L31" s="3" t="s">
        <v>5</v>
      </c>
      <c r="M31" s="3">
        <f>_xlfn.XLOOKUP(questoes!$L31,Tabela2[LETRA],Tabela2[IND],"",0)</f>
        <v>1</v>
      </c>
      <c r="N31" s="3">
        <v>1</v>
      </c>
      <c r="O31" s="8" t="s">
        <v>357</v>
      </c>
      <c r="P31" s="8" t="s">
        <v>356</v>
      </c>
      <c r="Q31" s="10" t="s">
        <v>207</v>
      </c>
    </row>
    <row r="32" spans="1:17" ht="90" x14ac:dyDescent="0.25">
      <c r="A32" s="6" t="s">
        <v>215</v>
      </c>
      <c r="B32" s="6" t="s">
        <v>14</v>
      </c>
      <c r="C32" s="6" t="s">
        <v>15</v>
      </c>
      <c r="D32" s="6" t="s">
        <v>200</v>
      </c>
      <c r="E32" s="6" t="s">
        <v>33</v>
      </c>
      <c r="F32" s="6" t="s">
        <v>216</v>
      </c>
      <c r="G32" s="6" t="s">
        <v>217</v>
      </c>
      <c r="H32" s="6" t="s">
        <v>218</v>
      </c>
      <c r="I32" s="6" t="s">
        <v>219</v>
      </c>
      <c r="J32" s="6" t="s">
        <v>220</v>
      </c>
      <c r="K32" s="6" t="s">
        <v>221</v>
      </c>
      <c r="L32" s="7" t="s">
        <v>5</v>
      </c>
      <c r="M32" s="7">
        <f>_xlfn.XLOOKUP(questoes!$L32,Tabela2[LETRA],Tabela2[IND],"",0)</f>
        <v>1</v>
      </c>
      <c r="N32" s="7">
        <v>1</v>
      </c>
      <c r="O32" s="6" t="s">
        <v>358</v>
      </c>
      <c r="P32" s="6" t="s">
        <v>359</v>
      </c>
      <c r="Q32" s="9" t="s">
        <v>207</v>
      </c>
    </row>
    <row r="33" spans="1:17" ht="75" x14ac:dyDescent="0.25">
      <c r="A33" s="8" t="s">
        <v>222</v>
      </c>
      <c r="B33" s="8" t="s">
        <v>14</v>
      </c>
      <c r="C33" s="8" t="s">
        <v>15</v>
      </c>
      <c r="D33" s="8" t="s">
        <v>200</v>
      </c>
      <c r="E33" s="8" t="s">
        <v>33</v>
      </c>
      <c r="F33" s="8" t="s">
        <v>223</v>
      </c>
      <c r="G33" s="8" t="s">
        <v>224</v>
      </c>
      <c r="H33" s="8" t="s">
        <v>217</v>
      </c>
      <c r="I33" s="8" t="s">
        <v>225</v>
      </c>
      <c r="J33" s="8" t="s">
        <v>226</v>
      </c>
      <c r="K33" s="8" t="s">
        <v>227</v>
      </c>
      <c r="L33" s="3" t="s">
        <v>6</v>
      </c>
      <c r="M33" s="3">
        <f>_xlfn.XLOOKUP(questoes!$L33,Tabela2[LETRA],Tabela2[IND],"",0)</f>
        <v>2</v>
      </c>
      <c r="N33" s="3">
        <v>2</v>
      </c>
      <c r="O33" s="8" t="s">
        <v>360</v>
      </c>
      <c r="P33" s="8" t="s">
        <v>359</v>
      </c>
      <c r="Q33" s="10" t="s">
        <v>207</v>
      </c>
    </row>
    <row r="34" spans="1:17" ht="75" x14ac:dyDescent="0.25">
      <c r="A34" s="6" t="s">
        <v>228</v>
      </c>
      <c r="B34" s="6" t="s">
        <v>14</v>
      </c>
      <c r="C34" s="6" t="s">
        <v>15</v>
      </c>
      <c r="D34" s="6" t="s">
        <v>200</v>
      </c>
      <c r="E34" s="6" t="s">
        <v>127</v>
      </c>
      <c r="F34" s="6" t="s">
        <v>229</v>
      </c>
      <c r="G34" s="6" t="s">
        <v>230</v>
      </c>
      <c r="H34" s="6" t="s">
        <v>231</v>
      </c>
      <c r="I34" s="6" t="s">
        <v>232</v>
      </c>
      <c r="J34" s="6" t="s">
        <v>233</v>
      </c>
      <c r="K34" s="6" t="s">
        <v>234</v>
      </c>
      <c r="L34" s="7" t="s">
        <v>5</v>
      </c>
      <c r="M34" s="7">
        <f>_xlfn.XLOOKUP(questoes!$L34,Tabela2[LETRA],Tabela2[IND],"",0)</f>
        <v>1</v>
      </c>
      <c r="N34" s="7">
        <v>1</v>
      </c>
      <c r="O34" s="6" t="s">
        <v>361</v>
      </c>
      <c r="P34" s="6" t="s">
        <v>356</v>
      </c>
      <c r="Q34" s="9" t="s">
        <v>207</v>
      </c>
    </row>
    <row r="35" spans="1:17" ht="75" x14ac:dyDescent="0.25">
      <c r="A35" s="8" t="s">
        <v>235</v>
      </c>
      <c r="B35" s="8" t="s">
        <v>14</v>
      </c>
      <c r="C35" s="8" t="s">
        <v>15</v>
      </c>
      <c r="D35" s="8" t="s">
        <v>200</v>
      </c>
      <c r="E35" s="8" t="s">
        <v>17</v>
      </c>
      <c r="F35" s="8" t="s">
        <v>236</v>
      </c>
      <c r="G35" s="8" t="s">
        <v>237</v>
      </c>
      <c r="H35" s="8" t="s">
        <v>238</v>
      </c>
      <c r="I35" s="8" t="s">
        <v>239</v>
      </c>
      <c r="J35" s="8" t="s">
        <v>240</v>
      </c>
      <c r="K35" s="8" t="s">
        <v>241</v>
      </c>
      <c r="L35" s="3" t="s">
        <v>6</v>
      </c>
      <c r="M35" s="3">
        <f>_xlfn.XLOOKUP(questoes!$L35,Tabela2[LETRA],Tabela2[IND],"",0)</f>
        <v>2</v>
      </c>
      <c r="N35" s="3">
        <v>2</v>
      </c>
      <c r="O35" s="8" t="s">
        <v>362</v>
      </c>
      <c r="P35" s="8" t="s">
        <v>356</v>
      </c>
      <c r="Q35" s="10" t="s">
        <v>207</v>
      </c>
    </row>
    <row r="36" spans="1:17" ht="75" x14ac:dyDescent="0.25">
      <c r="A36" s="6" t="s">
        <v>242</v>
      </c>
      <c r="B36" s="6" t="s">
        <v>14</v>
      </c>
      <c r="C36" s="6" t="s">
        <v>15</v>
      </c>
      <c r="D36" s="6" t="s">
        <v>200</v>
      </c>
      <c r="E36" s="6" t="s">
        <v>17</v>
      </c>
      <c r="F36" s="6" t="s">
        <v>243</v>
      </c>
      <c r="G36" s="6" t="s">
        <v>244</v>
      </c>
      <c r="H36" s="6" t="s">
        <v>245</v>
      </c>
      <c r="I36" s="6" t="s">
        <v>246</v>
      </c>
      <c r="J36" s="6" t="s">
        <v>247</v>
      </c>
      <c r="K36" s="6" t="s">
        <v>248</v>
      </c>
      <c r="L36" s="7" t="s">
        <v>5</v>
      </c>
      <c r="M36" s="7">
        <f>_xlfn.XLOOKUP(questoes!$L36,Tabela2[LETRA],Tabela2[IND],"",0)</f>
        <v>1</v>
      </c>
      <c r="N36" s="7">
        <v>1</v>
      </c>
      <c r="O36" s="6" t="s">
        <v>363</v>
      </c>
      <c r="P36" s="6" t="s">
        <v>356</v>
      </c>
      <c r="Q36" s="9" t="s">
        <v>207</v>
      </c>
    </row>
    <row r="37" spans="1:17" ht="75" x14ac:dyDescent="0.25">
      <c r="A37" s="8" t="s">
        <v>249</v>
      </c>
      <c r="B37" s="8" t="s">
        <v>14</v>
      </c>
      <c r="C37" s="8" t="s">
        <v>15</v>
      </c>
      <c r="D37" s="8" t="s">
        <v>200</v>
      </c>
      <c r="E37" s="8" t="s">
        <v>33</v>
      </c>
      <c r="F37" s="8" t="s">
        <v>250</v>
      </c>
      <c r="G37" s="8" t="s">
        <v>244</v>
      </c>
      <c r="H37" s="8" t="s">
        <v>245</v>
      </c>
      <c r="I37" s="8" t="s">
        <v>246</v>
      </c>
      <c r="J37" s="8" t="s">
        <v>251</v>
      </c>
      <c r="K37" s="8" t="s">
        <v>252</v>
      </c>
      <c r="L37" s="3" t="s">
        <v>6</v>
      </c>
      <c r="M37" s="3">
        <f>_xlfn.XLOOKUP(questoes!$L37,Tabela2[LETRA],Tabela2[IND],"",0)</f>
        <v>2</v>
      </c>
      <c r="N37" s="3">
        <v>2</v>
      </c>
      <c r="O37" s="8" t="s">
        <v>364</v>
      </c>
      <c r="P37" s="8" t="s">
        <v>356</v>
      </c>
      <c r="Q37" s="10" t="s">
        <v>207</v>
      </c>
    </row>
    <row r="38" spans="1:17" ht="105" x14ac:dyDescent="0.25">
      <c r="A38" s="6" t="s">
        <v>253</v>
      </c>
      <c r="B38" s="6" t="s">
        <v>14</v>
      </c>
      <c r="C38" s="6" t="s">
        <v>15</v>
      </c>
      <c r="D38" s="6" t="s">
        <v>16</v>
      </c>
      <c r="E38" s="6" t="s">
        <v>127</v>
      </c>
      <c r="F38" s="6" t="s">
        <v>254</v>
      </c>
      <c r="G38" s="6" t="s">
        <v>255</v>
      </c>
      <c r="H38" s="6" t="s">
        <v>256</v>
      </c>
      <c r="I38" s="6" t="s">
        <v>257</v>
      </c>
      <c r="J38" s="6" t="s">
        <v>258</v>
      </c>
      <c r="K38" s="6" t="s">
        <v>259</v>
      </c>
      <c r="L38" s="7" t="s">
        <v>4</v>
      </c>
      <c r="M38" s="7">
        <f>_xlfn.XLOOKUP(questoes!$L38,Tabela2[LETRA],Tabela2[IND],"",0)</f>
        <v>0</v>
      </c>
      <c r="N38" s="7">
        <v>0</v>
      </c>
      <c r="O38" s="6" t="s">
        <v>365</v>
      </c>
      <c r="P38" s="6" t="s">
        <v>366</v>
      </c>
      <c r="Q38" s="9" t="s">
        <v>24</v>
      </c>
    </row>
    <row r="39" spans="1:17" ht="105" x14ac:dyDescent="0.25">
      <c r="A39" s="8" t="s">
        <v>260</v>
      </c>
      <c r="B39" s="8" t="s">
        <v>14</v>
      </c>
      <c r="C39" s="8" t="s">
        <v>15</v>
      </c>
      <c r="D39" s="8" t="s">
        <v>170</v>
      </c>
      <c r="E39" s="8" t="s">
        <v>33</v>
      </c>
      <c r="F39" s="8" t="s">
        <v>261</v>
      </c>
      <c r="G39" s="8" t="s">
        <v>262</v>
      </c>
      <c r="H39" s="8" t="s">
        <v>263</v>
      </c>
      <c r="I39" s="8" t="s">
        <v>264</v>
      </c>
      <c r="J39" s="8" t="s">
        <v>265</v>
      </c>
      <c r="K39" s="8" t="s">
        <v>266</v>
      </c>
      <c r="L39" s="3" t="s">
        <v>5</v>
      </c>
      <c r="M39" s="3">
        <f>_xlfn.XLOOKUP(questoes!$L39,Tabela2[LETRA],Tabela2[IND],"",0)</f>
        <v>1</v>
      </c>
      <c r="N39" s="3">
        <v>1</v>
      </c>
      <c r="O39" s="8" t="s">
        <v>367</v>
      </c>
      <c r="P39" s="8" t="s">
        <v>350</v>
      </c>
      <c r="Q39" s="10" t="s">
        <v>177</v>
      </c>
    </row>
    <row r="40" spans="1:17" ht="120" x14ac:dyDescent="0.25">
      <c r="A40" s="6" t="s">
        <v>267</v>
      </c>
      <c r="B40" s="6" t="s">
        <v>14</v>
      </c>
      <c r="C40" s="6" t="s">
        <v>15</v>
      </c>
      <c r="D40" s="6" t="s">
        <v>170</v>
      </c>
      <c r="E40" s="6" t="s">
        <v>127</v>
      </c>
      <c r="F40" s="6" t="s">
        <v>268</v>
      </c>
      <c r="G40" s="6" t="s">
        <v>245</v>
      </c>
      <c r="H40" s="6" t="s">
        <v>190</v>
      </c>
      <c r="I40" s="6" t="s">
        <v>269</v>
      </c>
      <c r="J40" s="6" t="s">
        <v>270</v>
      </c>
      <c r="K40" s="6" t="s">
        <v>271</v>
      </c>
      <c r="L40" s="7" t="s">
        <v>6</v>
      </c>
      <c r="M40" s="7">
        <f>_xlfn.XLOOKUP(questoes!$L40,Tabela2[LETRA],Tabela2[IND],"",0)</f>
        <v>2</v>
      </c>
      <c r="N40" s="7">
        <v>2</v>
      </c>
      <c r="O40" s="6" t="s">
        <v>368</v>
      </c>
      <c r="P40" s="6" t="s">
        <v>350</v>
      </c>
      <c r="Q40" s="9" t="s">
        <v>177</v>
      </c>
    </row>
    <row r="41" spans="1:17" ht="105" x14ac:dyDescent="0.25">
      <c r="A41" s="8" t="s">
        <v>272</v>
      </c>
      <c r="B41" s="8" t="s">
        <v>14</v>
      </c>
      <c r="C41" s="8" t="s">
        <v>15</v>
      </c>
      <c r="D41" s="8" t="s">
        <v>170</v>
      </c>
      <c r="E41" s="8" t="s">
        <v>33</v>
      </c>
      <c r="F41" s="8" t="s">
        <v>273</v>
      </c>
      <c r="G41" s="8" t="s">
        <v>274</v>
      </c>
      <c r="H41" s="8" t="s">
        <v>275</v>
      </c>
      <c r="I41" s="8" t="s">
        <v>276</v>
      </c>
      <c r="J41" s="8" t="s">
        <v>277</v>
      </c>
      <c r="K41" s="8" t="s">
        <v>252</v>
      </c>
      <c r="L41" s="3" t="s">
        <v>4</v>
      </c>
      <c r="M41" s="3">
        <f>_xlfn.XLOOKUP(questoes!$L41,Tabela2[LETRA],Tabela2[IND],"",0)</f>
        <v>0</v>
      </c>
      <c r="N41" s="3">
        <v>0</v>
      </c>
      <c r="O41" s="8" t="s">
        <v>369</v>
      </c>
      <c r="P41" s="8" t="s">
        <v>350</v>
      </c>
      <c r="Q41" s="10" t="s">
        <v>177</v>
      </c>
    </row>
    <row r="42" spans="1:17" ht="105" x14ac:dyDescent="0.25">
      <c r="A42" s="6" t="s">
        <v>278</v>
      </c>
      <c r="B42" s="6" t="s">
        <v>14</v>
      </c>
      <c r="C42" s="6" t="s">
        <v>15</v>
      </c>
      <c r="D42" s="6" t="s">
        <v>170</v>
      </c>
      <c r="E42" s="6" t="s">
        <v>127</v>
      </c>
      <c r="F42" s="6" t="s">
        <v>279</v>
      </c>
      <c r="G42" s="6" t="s">
        <v>280</v>
      </c>
      <c r="H42" s="6" t="s">
        <v>281</v>
      </c>
      <c r="I42" s="6" t="s">
        <v>274</v>
      </c>
      <c r="J42" s="6" t="s">
        <v>282</v>
      </c>
      <c r="K42" s="6" t="s">
        <v>283</v>
      </c>
      <c r="L42" s="7" t="s">
        <v>5</v>
      </c>
      <c r="M42" s="7">
        <f>_xlfn.XLOOKUP(questoes!$L42,Tabela2[LETRA],Tabela2[IND],"",0)</f>
        <v>1</v>
      </c>
      <c r="N42" s="7">
        <v>1</v>
      </c>
      <c r="O42" s="6" t="s">
        <v>370</v>
      </c>
      <c r="P42" s="6" t="s">
        <v>350</v>
      </c>
      <c r="Q42" s="9" t="s">
        <v>177</v>
      </c>
    </row>
    <row r="43" spans="1:17" ht="105" x14ac:dyDescent="0.25">
      <c r="A43" s="8" t="s">
        <v>284</v>
      </c>
      <c r="B43" s="8" t="s">
        <v>14</v>
      </c>
      <c r="C43" s="8" t="s">
        <v>15</v>
      </c>
      <c r="D43" s="8" t="s">
        <v>170</v>
      </c>
      <c r="E43" s="8" t="s">
        <v>17</v>
      </c>
      <c r="F43" s="8" t="s">
        <v>285</v>
      </c>
      <c r="G43" s="8" t="s">
        <v>274</v>
      </c>
      <c r="H43" s="8" t="s">
        <v>269</v>
      </c>
      <c r="I43" s="8" t="s">
        <v>280</v>
      </c>
      <c r="J43" s="8" t="s">
        <v>281</v>
      </c>
      <c r="K43" s="8" t="s">
        <v>286</v>
      </c>
      <c r="L43" s="3" t="s">
        <v>6</v>
      </c>
      <c r="M43" s="3">
        <f>_xlfn.XLOOKUP(questoes!$L43,Tabela2[LETRA],Tabela2[IND],"",0)</f>
        <v>2</v>
      </c>
      <c r="N43" s="3">
        <v>2</v>
      </c>
      <c r="O43" s="8" t="s">
        <v>371</v>
      </c>
      <c r="P43" s="8" t="s">
        <v>350</v>
      </c>
      <c r="Q43" s="10" t="s">
        <v>177</v>
      </c>
    </row>
    <row r="44" spans="1:17" ht="105" x14ac:dyDescent="0.25">
      <c r="A44" s="6" t="s">
        <v>287</v>
      </c>
      <c r="B44" s="6" t="s">
        <v>14</v>
      </c>
      <c r="C44" s="6" t="s">
        <v>15</v>
      </c>
      <c r="D44" s="6" t="s">
        <v>170</v>
      </c>
      <c r="E44" s="6" t="s">
        <v>33</v>
      </c>
      <c r="F44" s="6" t="s">
        <v>288</v>
      </c>
      <c r="G44" s="6" t="s">
        <v>289</v>
      </c>
      <c r="H44" s="6" t="s">
        <v>290</v>
      </c>
      <c r="I44" s="6" t="s">
        <v>291</v>
      </c>
      <c r="J44" s="6" t="s">
        <v>248</v>
      </c>
      <c r="K44" s="6" t="s">
        <v>292</v>
      </c>
      <c r="L44" s="7" t="s">
        <v>4</v>
      </c>
      <c r="M44" s="7">
        <f>_xlfn.XLOOKUP(questoes!$L44,Tabela2[LETRA],Tabela2[IND],"",0)</f>
        <v>0</v>
      </c>
      <c r="N44" s="7">
        <v>0</v>
      </c>
      <c r="O44" s="6" t="s">
        <v>372</v>
      </c>
      <c r="P44" s="6" t="s">
        <v>350</v>
      </c>
      <c r="Q44" s="9" t="s">
        <v>177</v>
      </c>
    </row>
    <row r="45" spans="1:17" ht="90" x14ac:dyDescent="0.25">
      <c r="A45" s="8" t="s">
        <v>293</v>
      </c>
      <c r="B45" s="8" t="s">
        <v>14</v>
      </c>
      <c r="C45" s="8" t="s">
        <v>15</v>
      </c>
      <c r="D45" s="8" t="s">
        <v>294</v>
      </c>
      <c r="E45" s="8" t="s">
        <v>127</v>
      </c>
      <c r="F45" s="8" t="s">
        <v>295</v>
      </c>
      <c r="G45" s="8" t="s">
        <v>190</v>
      </c>
      <c r="H45" s="8" t="s">
        <v>296</v>
      </c>
      <c r="I45" s="8" t="s">
        <v>217</v>
      </c>
      <c r="J45" s="8" t="s">
        <v>297</v>
      </c>
      <c r="K45" s="8" t="s">
        <v>298</v>
      </c>
      <c r="L45" s="3" t="s">
        <v>5</v>
      </c>
      <c r="M45" s="3">
        <f>_xlfn.XLOOKUP(questoes!$L45,Tabela2[LETRA],Tabela2[IND],"",0)</f>
        <v>1</v>
      </c>
      <c r="N45" s="3">
        <v>1</v>
      </c>
      <c r="O45" s="8" t="s">
        <v>373</v>
      </c>
      <c r="P45" s="8" t="s">
        <v>376</v>
      </c>
      <c r="Q45" s="10" t="s">
        <v>299</v>
      </c>
    </row>
    <row r="46" spans="1:17" ht="90" x14ac:dyDescent="0.25">
      <c r="A46" s="6" t="s">
        <v>300</v>
      </c>
      <c r="B46" s="6" t="s">
        <v>14</v>
      </c>
      <c r="C46" s="6" t="s">
        <v>15</v>
      </c>
      <c r="D46" s="6" t="s">
        <v>294</v>
      </c>
      <c r="E46" s="6" t="s">
        <v>127</v>
      </c>
      <c r="F46" s="6" t="s">
        <v>301</v>
      </c>
      <c r="G46" s="6" t="s">
        <v>302</v>
      </c>
      <c r="H46" s="6" t="s">
        <v>303</v>
      </c>
      <c r="I46" s="6" t="s">
        <v>304</v>
      </c>
      <c r="J46" s="6" t="s">
        <v>305</v>
      </c>
      <c r="K46" s="6" t="s">
        <v>306</v>
      </c>
      <c r="L46" s="7" t="s">
        <v>6</v>
      </c>
      <c r="M46" s="7">
        <f>_xlfn.XLOOKUP(questoes!$L46,Tabela2[LETRA],Tabela2[IND],"",0)</f>
        <v>2</v>
      </c>
      <c r="N46" s="7">
        <v>2</v>
      </c>
      <c r="O46" s="6" t="s">
        <v>374</v>
      </c>
      <c r="P46" s="6" t="s">
        <v>376</v>
      </c>
      <c r="Q46" s="9" t="s">
        <v>299</v>
      </c>
    </row>
    <row r="47" spans="1:17" ht="90" x14ac:dyDescent="0.25">
      <c r="A47" s="8" t="s">
        <v>307</v>
      </c>
      <c r="B47" s="8" t="s">
        <v>14</v>
      </c>
      <c r="C47" s="8" t="s">
        <v>15</v>
      </c>
      <c r="D47" s="8" t="s">
        <v>16</v>
      </c>
      <c r="E47" s="8" t="s">
        <v>33</v>
      </c>
      <c r="F47" s="8" t="s">
        <v>308</v>
      </c>
      <c r="G47" s="8" t="s">
        <v>309</v>
      </c>
      <c r="H47" s="8" t="s">
        <v>310</v>
      </c>
      <c r="I47" s="8" t="s">
        <v>311</v>
      </c>
      <c r="J47" s="8" t="s">
        <v>312</v>
      </c>
      <c r="K47" s="8" t="s">
        <v>313</v>
      </c>
      <c r="L47" s="3" t="s">
        <v>5</v>
      </c>
      <c r="M47" s="3">
        <f>_xlfn.XLOOKUP(questoes!$L47,Tabela2[LETRA],Tabela2[IND],"",0)</f>
        <v>1</v>
      </c>
      <c r="N47" s="3">
        <v>1</v>
      </c>
      <c r="O47" s="8" t="s">
        <v>375</v>
      </c>
      <c r="P47" s="8" t="s">
        <v>377</v>
      </c>
      <c r="Q47" s="10" t="s">
        <v>24</v>
      </c>
    </row>
    <row r="48" spans="1:17" s="4" customFormat="1" ht="168.75" customHeight="1" x14ac:dyDescent="0.25">
      <c r="A48" s="13" t="s">
        <v>385</v>
      </c>
      <c r="B48" s="14" t="s">
        <v>14</v>
      </c>
      <c r="C48" s="15" t="s">
        <v>384</v>
      </c>
      <c r="D48" s="15" t="s">
        <v>386</v>
      </c>
      <c r="E48" s="15" t="s">
        <v>383</v>
      </c>
      <c r="F48" s="15" t="s">
        <v>387</v>
      </c>
      <c r="G48" s="15" t="s">
        <v>388</v>
      </c>
      <c r="H48" s="15" t="s">
        <v>389</v>
      </c>
      <c r="I48" s="15" t="s">
        <v>390</v>
      </c>
      <c r="J48" s="15" t="s">
        <v>217</v>
      </c>
      <c r="K48" s="15" t="s">
        <v>391</v>
      </c>
      <c r="L48" s="15" t="s">
        <v>7</v>
      </c>
      <c r="M48" s="16">
        <f>_xlfn.XLOOKUP(questoes!$L48,Tabela2[LETRA],Tabela2[IND],"",0)</f>
        <v>3</v>
      </c>
      <c r="N48" s="15">
        <v>3</v>
      </c>
      <c r="O48" s="15" t="s">
        <v>408</v>
      </c>
      <c r="P48" s="15" t="s">
        <v>392</v>
      </c>
      <c r="Q48" s="15">
        <v>28</v>
      </c>
    </row>
    <row r="49" spans="1:17" s="4" customFormat="1" ht="165" x14ac:dyDescent="0.25">
      <c r="A49" s="17" t="s">
        <v>399</v>
      </c>
      <c r="B49" s="18" t="s">
        <v>14</v>
      </c>
      <c r="C49" s="19" t="s">
        <v>384</v>
      </c>
      <c r="D49" s="19" t="s">
        <v>386</v>
      </c>
      <c r="E49" s="19" t="s">
        <v>383</v>
      </c>
      <c r="F49" s="19" t="s">
        <v>393</v>
      </c>
      <c r="G49" s="19" t="s">
        <v>388</v>
      </c>
      <c r="H49" s="19" t="s">
        <v>390</v>
      </c>
      <c r="I49" s="19" t="s">
        <v>217</v>
      </c>
      <c r="J49" s="19" t="s">
        <v>391</v>
      </c>
      <c r="K49" s="19" t="s">
        <v>389</v>
      </c>
      <c r="L49" s="19" t="s">
        <v>8</v>
      </c>
      <c r="M49" s="20">
        <f>_xlfn.XLOOKUP(questoes!$L49,Tabela2[LETRA],Tabela2[IND],"",0)</f>
        <v>4</v>
      </c>
      <c r="N49" s="19">
        <v>4</v>
      </c>
      <c r="O49" s="19" t="s">
        <v>394</v>
      </c>
      <c r="P49" s="19" t="s">
        <v>395</v>
      </c>
      <c r="Q49" s="19">
        <v>30</v>
      </c>
    </row>
    <row r="50" spans="1:17" s="4" customFormat="1" ht="150" x14ac:dyDescent="0.25">
      <c r="A50" s="13" t="s">
        <v>400</v>
      </c>
      <c r="B50" s="14" t="s">
        <v>14</v>
      </c>
      <c r="C50" s="15" t="s">
        <v>384</v>
      </c>
      <c r="D50" s="15" t="s">
        <v>386</v>
      </c>
      <c r="E50" s="15" t="s">
        <v>383</v>
      </c>
      <c r="F50" s="15" t="s">
        <v>396</v>
      </c>
      <c r="G50" s="15" t="s">
        <v>389</v>
      </c>
      <c r="H50" s="15" t="s">
        <v>388</v>
      </c>
      <c r="I50" s="15" t="s">
        <v>217</v>
      </c>
      <c r="J50" s="15" t="s">
        <v>390</v>
      </c>
      <c r="K50" s="15" t="s">
        <v>391</v>
      </c>
      <c r="L50" s="15" t="s">
        <v>7</v>
      </c>
      <c r="M50" s="16">
        <f>_xlfn.XLOOKUP(questoes!$L50,Tabela2[LETRA],Tabela2[IND],"",0)</f>
        <v>3</v>
      </c>
      <c r="N50" s="15">
        <v>3</v>
      </c>
      <c r="O50" s="15" t="s">
        <v>397</v>
      </c>
      <c r="P50" s="15" t="s">
        <v>398</v>
      </c>
      <c r="Q50" s="15">
        <v>31</v>
      </c>
    </row>
    <row r="51" spans="1:17" ht="105" x14ac:dyDescent="0.25">
      <c r="A51" s="17" t="s">
        <v>692</v>
      </c>
      <c r="B51" s="18" t="s">
        <v>14</v>
      </c>
      <c r="C51" s="19" t="s">
        <v>384</v>
      </c>
      <c r="D51" s="19" t="s">
        <v>386</v>
      </c>
      <c r="E51" s="19" t="s">
        <v>383</v>
      </c>
      <c r="F51" s="19" t="s">
        <v>409</v>
      </c>
      <c r="G51" s="19" t="s">
        <v>410</v>
      </c>
      <c r="H51" s="19" t="s">
        <v>411</v>
      </c>
      <c r="I51" s="19" t="s">
        <v>412</v>
      </c>
      <c r="J51" s="19" t="s">
        <v>413</v>
      </c>
      <c r="K51" s="19" t="s">
        <v>414</v>
      </c>
      <c r="L51" s="19" t="s">
        <v>6</v>
      </c>
      <c r="M51" s="20">
        <f>_xlfn.XLOOKUP(questoes!$L51,Tabela2[LETRA],Tabela2[IND],"",0)</f>
        <v>2</v>
      </c>
      <c r="N51" s="19">
        <v>2</v>
      </c>
      <c r="O51" s="19" t="s">
        <v>415</v>
      </c>
      <c r="P51" s="19" t="s">
        <v>398</v>
      </c>
      <c r="Q51" s="19">
        <v>31</v>
      </c>
    </row>
    <row r="52" spans="1:17" ht="165" x14ac:dyDescent="0.25">
      <c r="A52" s="13" t="s">
        <v>401</v>
      </c>
      <c r="B52" s="14" t="s">
        <v>14</v>
      </c>
      <c r="C52" s="15" t="s">
        <v>384</v>
      </c>
      <c r="D52" s="15" t="s">
        <v>386</v>
      </c>
      <c r="E52" s="15" t="s">
        <v>383</v>
      </c>
      <c r="F52" s="15" t="s">
        <v>416</v>
      </c>
      <c r="G52" s="15" t="s">
        <v>417</v>
      </c>
      <c r="H52" s="15" t="s">
        <v>418</v>
      </c>
      <c r="I52" s="15" t="s">
        <v>419</v>
      </c>
      <c r="J52" s="15" t="s">
        <v>420</v>
      </c>
      <c r="K52" s="15" t="s">
        <v>421</v>
      </c>
      <c r="L52" s="15" t="s">
        <v>6</v>
      </c>
      <c r="M52" s="16">
        <f>_xlfn.XLOOKUP(questoes!$L52,Tabela2[LETRA],Tabela2[IND],"",0)</f>
        <v>2</v>
      </c>
      <c r="N52" s="15">
        <v>2</v>
      </c>
      <c r="O52" s="15" t="s">
        <v>422</v>
      </c>
      <c r="P52" s="15" t="s">
        <v>398</v>
      </c>
      <c r="Q52" s="15">
        <v>31</v>
      </c>
    </row>
    <row r="53" spans="1:17" s="4" customFormat="1" ht="135" x14ac:dyDescent="0.25">
      <c r="A53" s="17" t="s">
        <v>402</v>
      </c>
      <c r="B53" s="18" t="s">
        <v>14</v>
      </c>
      <c r="C53" s="19" t="s">
        <v>384</v>
      </c>
      <c r="D53" s="19" t="s">
        <v>386</v>
      </c>
      <c r="E53" s="19" t="s">
        <v>383</v>
      </c>
      <c r="F53" s="19" t="s">
        <v>423</v>
      </c>
      <c r="G53" s="19" t="s">
        <v>424</v>
      </c>
      <c r="H53" s="19" t="s">
        <v>425</v>
      </c>
      <c r="I53" s="19" t="s">
        <v>426</v>
      </c>
      <c r="J53" s="19" t="s">
        <v>427</v>
      </c>
      <c r="K53" s="19" t="s">
        <v>428</v>
      </c>
      <c r="L53" s="19" t="s">
        <v>7</v>
      </c>
      <c r="M53" s="20">
        <f>_xlfn.XLOOKUP(questoes!$L53,Tabela2[LETRA],Tabela2[IND],"",0)</f>
        <v>3</v>
      </c>
      <c r="N53" s="19">
        <v>3</v>
      </c>
      <c r="O53" s="19" t="s">
        <v>429</v>
      </c>
      <c r="P53" s="19" t="s">
        <v>398</v>
      </c>
      <c r="Q53" s="19">
        <v>31</v>
      </c>
    </row>
    <row r="54" spans="1:17" s="4" customFormat="1" ht="180" x14ac:dyDescent="0.25">
      <c r="A54" s="13" t="s">
        <v>403</v>
      </c>
      <c r="B54" s="14" t="s">
        <v>14</v>
      </c>
      <c r="C54" s="15" t="s">
        <v>384</v>
      </c>
      <c r="D54" s="15" t="s">
        <v>386</v>
      </c>
      <c r="E54" s="15" t="s">
        <v>383</v>
      </c>
      <c r="F54" s="15" t="s">
        <v>430</v>
      </c>
      <c r="G54" s="15" t="s">
        <v>217</v>
      </c>
      <c r="H54" s="15" t="s">
        <v>390</v>
      </c>
      <c r="I54" s="15" t="s">
        <v>388</v>
      </c>
      <c r="J54" s="15" t="s">
        <v>389</v>
      </c>
      <c r="K54" s="15" t="s">
        <v>391</v>
      </c>
      <c r="L54" s="15" t="s">
        <v>6</v>
      </c>
      <c r="M54" s="16">
        <f>_xlfn.XLOOKUP(questoes!$L54,Tabela2[LETRA],Tabela2[IND],"",0)</f>
        <v>2</v>
      </c>
      <c r="N54" s="15">
        <v>2</v>
      </c>
      <c r="O54" s="15" t="s">
        <v>431</v>
      </c>
      <c r="P54" s="15" t="s">
        <v>432</v>
      </c>
      <c r="Q54" s="15">
        <v>30</v>
      </c>
    </row>
    <row r="55" spans="1:17" s="4" customFormat="1" ht="120" x14ac:dyDescent="0.25">
      <c r="A55" s="17" t="s">
        <v>404</v>
      </c>
      <c r="B55" s="18" t="s">
        <v>14</v>
      </c>
      <c r="C55" s="19" t="s">
        <v>384</v>
      </c>
      <c r="D55" s="19" t="s">
        <v>386</v>
      </c>
      <c r="E55" s="19" t="s">
        <v>383</v>
      </c>
      <c r="F55" s="19" t="s">
        <v>433</v>
      </c>
      <c r="G55" s="19" t="s">
        <v>434</v>
      </c>
      <c r="H55" s="19" t="s">
        <v>435</v>
      </c>
      <c r="I55" s="19" t="s">
        <v>436</v>
      </c>
      <c r="J55" s="19" t="s">
        <v>437</v>
      </c>
      <c r="K55" s="19" t="s">
        <v>438</v>
      </c>
      <c r="L55" s="19" t="s">
        <v>7</v>
      </c>
      <c r="M55" s="20">
        <f>_xlfn.XLOOKUP(questoes!$L55,Tabela2[LETRA],Tabela2[IND],"",0)</f>
        <v>3</v>
      </c>
      <c r="N55" s="19">
        <v>3</v>
      </c>
      <c r="O55" s="19" t="s">
        <v>439</v>
      </c>
      <c r="P55" s="19" t="s">
        <v>432</v>
      </c>
      <c r="Q55" s="19">
        <v>30</v>
      </c>
    </row>
    <row r="56" spans="1:17" s="4" customFormat="1" ht="135" x14ac:dyDescent="0.25">
      <c r="A56" s="13" t="s">
        <v>405</v>
      </c>
      <c r="B56" s="14" t="s">
        <v>14</v>
      </c>
      <c r="C56" s="15" t="s">
        <v>384</v>
      </c>
      <c r="D56" s="15" t="s">
        <v>386</v>
      </c>
      <c r="E56" s="15" t="s">
        <v>383</v>
      </c>
      <c r="F56" s="15" t="s">
        <v>440</v>
      </c>
      <c r="G56" s="15" t="s">
        <v>388</v>
      </c>
      <c r="H56" s="15" t="s">
        <v>389</v>
      </c>
      <c r="I56" s="15" t="s">
        <v>217</v>
      </c>
      <c r="J56" s="15" t="s">
        <v>390</v>
      </c>
      <c r="K56" s="15" t="s">
        <v>391</v>
      </c>
      <c r="L56" s="15" t="s">
        <v>8</v>
      </c>
      <c r="M56" s="16">
        <f>_xlfn.XLOOKUP(questoes!$L56,Tabela2[LETRA],Tabela2[IND],"",0)</f>
        <v>4</v>
      </c>
      <c r="N56" s="15">
        <v>4</v>
      </c>
      <c r="O56" s="15" t="s">
        <v>441</v>
      </c>
      <c r="P56" s="15" t="s">
        <v>442</v>
      </c>
      <c r="Q56" s="15">
        <v>32</v>
      </c>
    </row>
    <row r="57" spans="1:17" s="4" customFormat="1" ht="120" x14ac:dyDescent="0.25">
      <c r="A57" s="17" t="s">
        <v>406</v>
      </c>
      <c r="B57" s="18" t="s">
        <v>14</v>
      </c>
      <c r="C57" s="19" t="s">
        <v>384</v>
      </c>
      <c r="D57" s="19" t="s">
        <v>386</v>
      </c>
      <c r="E57" s="19" t="s">
        <v>383</v>
      </c>
      <c r="F57" s="19" t="s">
        <v>443</v>
      </c>
      <c r="G57" s="19" t="s">
        <v>444</v>
      </c>
      <c r="H57" s="19" t="s">
        <v>445</v>
      </c>
      <c r="I57" s="19" t="s">
        <v>446</v>
      </c>
      <c r="J57" s="19" t="s">
        <v>426</v>
      </c>
      <c r="K57" s="19" t="s">
        <v>447</v>
      </c>
      <c r="L57" s="19" t="s">
        <v>5</v>
      </c>
      <c r="M57" s="20">
        <f>_xlfn.XLOOKUP(questoes!$L57,Tabela2[LETRA],Tabela2[IND],"",0)</f>
        <v>1</v>
      </c>
      <c r="N57" s="19">
        <v>1</v>
      </c>
      <c r="O57" s="19" t="s">
        <v>448</v>
      </c>
      <c r="P57" s="19" t="s">
        <v>442</v>
      </c>
      <c r="Q57" s="19">
        <v>32</v>
      </c>
    </row>
    <row r="58" spans="1:17" s="4" customFormat="1" ht="225" x14ac:dyDescent="0.25">
      <c r="A58" s="13" t="s">
        <v>407</v>
      </c>
      <c r="B58" s="14"/>
      <c r="C58" s="15" t="s">
        <v>384</v>
      </c>
      <c r="D58" s="15" t="s">
        <v>939</v>
      </c>
      <c r="E58" s="15" t="s">
        <v>383</v>
      </c>
      <c r="F58" s="15" t="s">
        <v>940</v>
      </c>
      <c r="G58" s="15" t="s">
        <v>941</v>
      </c>
      <c r="H58" s="15" t="s">
        <v>942</v>
      </c>
      <c r="I58" s="15" t="s">
        <v>943</v>
      </c>
      <c r="J58" s="15" t="s">
        <v>944</v>
      </c>
      <c r="K58" s="15" t="s">
        <v>945</v>
      </c>
      <c r="L58" s="15" t="s">
        <v>6</v>
      </c>
      <c r="M58" s="16">
        <f>_xlfn.XLOOKUP(questoes!$L58,Tabela2[LETRA],Tabela2[IND],"",0)</f>
        <v>2</v>
      </c>
      <c r="N58" s="15">
        <v>2</v>
      </c>
      <c r="O58" s="15" t="s">
        <v>946</v>
      </c>
      <c r="P58" s="15" t="s">
        <v>947</v>
      </c>
      <c r="Q58" s="15">
        <v>26</v>
      </c>
    </row>
    <row r="59" spans="1:17" s="4" customFormat="1" ht="150" x14ac:dyDescent="0.25">
      <c r="A59" s="17" t="s">
        <v>584</v>
      </c>
      <c r="B59" s="18"/>
      <c r="C59" s="19" t="s">
        <v>384</v>
      </c>
      <c r="D59" s="19" t="s">
        <v>939</v>
      </c>
      <c r="E59" s="19" t="s">
        <v>383</v>
      </c>
      <c r="F59" s="19" t="s">
        <v>948</v>
      </c>
      <c r="G59" s="19" t="s">
        <v>949</v>
      </c>
      <c r="H59" s="19" t="s">
        <v>950</v>
      </c>
      <c r="I59" s="19" t="s">
        <v>951</v>
      </c>
      <c r="J59" s="19" t="s">
        <v>952</v>
      </c>
      <c r="K59" s="19" t="s">
        <v>953</v>
      </c>
      <c r="L59" s="19" t="s">
        <v>5</v>
      </c>
      <c r="M59" s="20">
        <f>_xlfn.XLOOKUP(questoes!$L59,Tabela2[LETRA],Tabela2[IND],"",0)</f>
        <v>1</v>
      </c>
      <c r="N59" s="19">
        <v>1</v>
      </c>
      <c r="O59" s="19" t="s">
        <v>954</v>
      </c>
      <c r="P59" s="19" t="s">
        <v>955</v>
      </c>
      <c r="Q59" s="19">
        <v>26</v>
      </c>
    </row>
    <row r="60" spans="1:17" s="4" customFormat="1" ht="105" x14ac:dyDescent="0.25">
      <c r="A60" s="13" t="s">
        <v>585</v>
      </c>
      <c r="B60" s="14"/>
      <c r="C60" s="15" t="s">
        <v>384</v>
      </c>
      <c r="D60" s="15" t="s">
        <v>939</v>
      </c>
      <c r="E60" s="15" t="s">
        <v>383</v>
      </c>
      <c r="F60" s="15" t="s">
        <v>956</v>
      </c>
      <c r="G60" s="15" t="s">
        <v>957</v>
      </c>
      <c r="H60" s="15" t="s">
        <v>958</v>
      </c>
      <c r="I60" s="15" t="s">
        <v>959</v>
      </c>
      <c r="J60" s="15" t="s">
        <v>960</v>
      </c>
      <c r="K60" s="15" t="s">
        <v>961</v>
      </c>
      <c r="L60" s="15" t="s">
        <v>7</v>
      </c>
      <c r="M60" s="16">
        <f>_xlfn.XLOOKUP(questoes!$L60,Tabela2[LETRA],Tabela2[IND],"",0)</f>
        <v>3</v>
      </c>
      <c r="N60" s="15">
        <v>3</v>
      </c>
      <c r="O60" s="15" t="s">
        <v>962</v>
      </c>
      <c r="P60" s="15" t="s">
        <v>963</v>
      </c>
      <c r="Q60" s="15">
        <v>26</v>
      </c>
    </row>
    <row r="61" spans="1:17" s="4" customFormat="1" ht="270" x14ac:dyDescent="0.25">
      <c r="A61" s="17" t="s">
        <v>586</v>
      </c>
      <c r="B61" s="18"/>
      <c r="C61" s="19" t="s">
        <v>384</v>
      </c>
      <c r="D61" s="19" t="s">
        <v>939</v>
      </c>
      <c r="E61" s="19" t="s">
        <v>383</v>
      </c>
      <c r="F61" s="19" t="s">
        <v>964</v>
      </c>
      <c r="G61" s="19" t="s">
        <v>965</v>
      </c>
      <c r="H61" s="19" t="s">
        <v>966</v>
      </c>
      <c r="I61" s="19" t="s">
        <v>967</v>
      </c>
      <c r="J61" s="19" t="s">
        <v>968</v>
      </c>
      <c r="K61" s="19" t="s">
        <v>969</v>
      </c>
      <c r="L61" s="19" t="s">
        <v>6</v>
      </c>
      <c r="M61" s="20">
        <f>_xlfn.XLOOKUP(questoes!$L61,Tabela2[LETRA],Tabela2[IND],"",0)</f>
        <v>2</v>
      </c>
      <c r="N61" s="19">
        <v>2</v>
      </c>
      <c r="O61" s="19" t="s">
        <v>970</v>
      </c>
      <c r="P61" s="19" t="s">
        <v>971</v>
      </c>
      <c r="Q61" s="19">
        <v>26</v>
      </c>
    </row>
    <row r="62" spans="1:17" s="4" customFormat="1" ht="210" x14ac:dyDescent="0.25">
      <c r="A62" s="13" t="s">
        <v>587</v>
      </c>
      <c r="B62" s="14"/>
      <c r="C62" s="15" t="s">
        <v>384</v>
      </c>
      <c r="D62" s="15" t="s">
        <v>939</v>
      </c>
      <c r="E62" s="15" t="s">
        <v>383</v>
      </c>
      <c r="F62" s="15" t="s">
        <v>972</v>
      </c>
      <c r="G62" s="15" t="s">
        <v>973</v>
      </c>
      <c r="H62" s="15" t="s">
        <v>974</v>
      </c>
      <c r="I62" s="15" t="s">
        <v>975</v>
      </c>
      <c r="J62" s="15" t="s">
        <v>976</v>
      </c>
      <c r="K62" s="15" t="s">
        <v>977</v>
      </c>
      <c r="L62" s="15" t="s">
        <v>6</v>
      </c>
      <c r="M62" s="16">
        <f>_xlfn.XLOOKUP(questoes!$L62,Tabela2[LETRA],Tabela2[IND],"",0)</f>
        <v>2</v>
      </c>
      <c r="N62" s="15">
        <v>2</v>
      </c>
      <c r="O62" s="15" t="s">
        <v>978</v>
      </c>
      <c r="P62" s="15" t="s">
        <v>979</v>
      </c>
      <c r="Q62" s="15">
        <v>26</v>
      </c>
    </row>
    <row r="63" spans="1:17" s="4" customFormat="1" ht="105" x14ac:dyDescent="0.25">
      <c r="A63" s="17" t="s">
        <v>588</v>
      </c>
      <c r="B63" s="18"/>
      <c r="C63" s="19" t="s">
        <v>384</v>
      </c>
      <c r="D63" s="19" t="s">
        <v>386</v>
      </c>
      <c r="E63" s="19" t="s">
        <v>383</v>
      </c>
      <c r="F63" s="19" t="s">
        <v>980</v>
      </c>
      <c r="G63" s="19" t="s">
        <v>981</v>
      </c>
      <c r="H63" s="19" t="s">
        <v>982</v>
      </c>
      <c r="I63" s="19" t="s">
        <v>983</v>
      </c>
      <c r="J63" s="19" t="s">
        <v>984</v>
      </c>
      <c r="K63" s="19" t="s">
        <v>985</v>
      </c>
      <c r="L63" s="19" t="s">
        <v>7</v>
      </c>
      <c r="M63" s="20">
        <f>_xlfn.XLOOKUP(questoes!$L63,Tabela2[LETRA],Tabela2[IND],"",0)</f>
        <v>3</v>
      </c>
      <c r="N63" s="19">
        <v>3</v>
      </c>
      <c r="O63" s="19" t="s">
        <v>986</v>
      </c>
      <c r="P63" s="19" t="s">
        <v>392</v>
      </c>
      <c r="Q63" s="19">
        <v>28</v>
      </c>
    </row>
    <row r="64" spans="1:17" s="4" customFormat="1" ht="210" x14ac:dyDescent="0.25">
      <c r="A64" s="13" t="s">
        <v>589</v>
      </c>
      <c r="B64" s="14"/>
      <c r="C64" s="15" t="s">
        <v>384</v>
      </c>
      <c r="D64" s="15" t="s">
        <v>386</v>
      </c>
      <c r="E64" s="15" t="s">
        <v>383</v>
      </c>
      <c r="F64" s="15" t="s">
        <v>987</v>
      </c>
      <c r="G64" s="15" t="s">
        <v>988</v>
      </c>
      <c r="H64" s="15" t="s">
        <v>989</v>
      </c>
      <c r="I64" s="15" t="s">
        <v>990</v>
      </c>
      <c r="J64" s="15" t="s">
        <v>991</v>
      </c>
      <c r="K64" s="15" t="s">
        <v>992</v>
      </c>
      <c r="L64" s="15" t="s">
        <v>6</v>
      </c>
      <c r="M64" s="16">
        <f>_xlfn.XLOOKUP(questoes!$L64,Tabela2[LETRA],Tabela2[IND],"",0)</f>
        <v>2</v>
      </c>
      <c r="N64" s="15">
        <v>2</v>
      </c>
      <c r="O64" s="15" t="s">
        <v>993</v>
      </c>
      <c r="P64" s="15" t="s">
        <v>392</v>
      </c>
      <c r="Q64" s="15">
        <v>28</v>
      </c>
    </row>
    <row r="65" spans="1:17" s="4" customFormat="1" ht="210" x14ac:dyDescent="0.25">
      <c r="A65" s="17" t="s">
        <v>590</v>
      </c>
      <c r="B65" s="18"/>
      <c r="C65" s="19" t="s">
        <v>384</v>
      </c>
      <c r="D65" s="19" t="s">
        <v>386</v>
      </c>
      <c r="E65" s="19" t="s">
        <v>383</v>
      </c>
      <c r="F65" s="19" t="s">
        <v>994</v>
      </c>
      <c r="G65" s="19" t="s">
        <v>995</v>
      </c>
      <c r="H65" s="19" t="s">
        <v>996</v>
      </c>
      <c r="I65" s="19" t="s">
        <v>997</v>
      </c>
      <c r="J65" s="19" t="s">
        <v>998</v>
      </c>
      <c r="K65" s="19" t="s">
        <v>999</v>
      </c>
      <c r="L65" s="19" t="s">
        <v>7</v>
      </c>
      <c r="M65" s="20">
        <f>_xlfn.XLOOKUP(questoes!$L65,Tabela2[LETRA],Tabela2[IND],"",0)</f>
        <v>3</v>
      </c>
      <c r="N65" s="19">
        <v>3</v>
      </c>
      <c r="O65" s="19" t="s">
        <v>1000</v>
      </c>
      <c r="P65" s="19" t="s">
        <v>392</v>
      </c>
      <c r="Q65" s="19">
        <v>28</v>
      </c>
    </row>
    <row r="66" spans="1:17" s="4" customFormat="1" ht="105" x14ac:dyDescent="0.25">
      <c r="A66" s="13" t="s">
        <v>591</v>
      </c>
      <c r="B66" s="14"/>
      <c r="C66" s="15" t="s">
        <v>384</v>
      </c>
      <c r="D66" s="15" t="s">
        <v>386</v>
      </c>
      <c r="E66" s="15" t="s">
        <v>383</v>
      </c>
      <c r="F66" s="15" t="s">
        <v>1001</v>
      </c>
      <c r="G66" s="15" t="s">
        <v>983</v>
      </c>
      <c r="H66" s="15" t="s">
        <v>985</v>
      </c>
      <c r="I66" s="15" t="s">
        <v>1002</v>
      </c>
      <c r="J66" s="15" t="s">
        <v>984</v>
      </c>
      <c r="K66" s="15" t="s">
        <v>1003</v>
      </c>
      <c r="L66" s="15" t="s">
        <v>5</v>
      </c>
      <c r="M66" s="16">
        <f>_xlfn.XLOOKUP(questoes!$L66,Tabela2[LETRA],Tabela2[IND],"",0)</f>
        <v>1</v>
      </c>
      <c r="N66" s="15">
        <v>1</v>
      </c>
      <c r="O66" s="15" t="s">
        <v>1004</v>
      </c>
      <c r="P66" s="15" t="s">
        <v>392</v>
      </c>
      <c r="Q66" s="15">
        <v>28</v>
      </c>
    </row>
    <row r="67" spans="1:17" s="4" customFormat="1" ht="165" x14ac:dyDescent="0.25">
      <c r="A67" s="17" t="s">
        <v>592</v>
      </c>
      <c r="B67" s="18"/>
      <c r="C67" s="19" t="s">
        <v>384</v>
      </c>
      <c r="D67" s="19" t="s">
        <v>386</v>
      </c>
      <c r="E67" s="19" t="s">
        <v>383</v>
      </c>
      <c r="F67" s="19" t="s">
        <v>1005</v>
      </c>
      <c r="G67" s="19" t="s">
        <v>1006</v>
      </c>
      <c r="H67" s="19" t="s">
        <v>1007</v>
      </c>
      <c r="I67" s="19" t="s">
        <v>1008</v>
      </c>
      <c r="J67" s="19" t="s">
        <v>1009</v>
      </c>
      <c r="K67" s="19" t="s">
        <v>1010</v>
      </c>
      <c r="L67" s="19" t="s">
        <v>6</v>
      </c>
      <c r="M67" s="20">
        <f>_xlfn.XLOOKUP(questoes!$L67,Tabela2[LETRA],Tabela2[IND],"",0)</f>
        <v>2</v>
      </c>
      <c r="N67" s="19">
        <v>2</v>
      </c>
      <c r="O67" s="19" t="s">
        <v>1011</v>
      </c>
      <c r="P67" s="19" t="s">
        <v>432</v>
      </c>
      <c r="Q67" s="19">
        <v>30</v>
      </c>
    </row>
    <row r="68" spans="1:17" s="4" customFormat="1" ht="135" x14ac:dyDescent="0.25">
      <c r="A68" s="21" t="s">
        <v>478</v>
      </c>
      <c r="B68" s="22" t="s">
        <v>14</v>
      </c>
      <c r="C68" s="23" t="s">
        <v>449</v>
      </c>
      <c r="D68" s="23" t="s">
        <v>450</v>
      </c>
      <c r="E68" s="23" t="s">
        <v>383</v>
      </c>
      <c r="F68" s="23" t="s">
        <v>451</v>
      </c>
      <c r="G68" s="23" t="s">
        <v>452</v>
      </c>
      <c r="H68" s="23" t="s">
        <v>453</v>
      </c>
      <c r="I68" s="23" t="s">
        <v>454</v>
      </c>
      <c r="J68" s="23" t="s">
        <v>455</v>
      </c>
      <c r="K68" s="23" t="s">
        <v>456</v>
      </c>
      <c r="L68" s="23" t="s">
        <v>6</v>
      </c>
      <c r="M68" s="22">
        <f>_xlfn.XLOOKUP(questoes!$L68,Tabela2[LETRA],Tabela2[IND],"",0)</f>
        <v>2</v>
      </c>
      <c r="N68" s="23">
        <v>2</v>
      </c>
      <c r="O68" s="23" t="s">
        <v>457</v>
      </c>
      <c r="P68" s="23" t="s">
        <v>458</v>
      </c>
      <c r="Q68" s="23">
        <v>47</v>
      </c>
    </row>
    <row r="69" spans="1:17" s="4" customFormat="1" ht="135" x14ac:dyDescent="0.25">
      <c r="A69" s="24" t="s">
        <v>479</v>
      </c>
      <c r="B69" s="25" t="s">
        <v>14</v>
      </c>
      <c r="C69" s="26" t="s">
        <v>449</v>
      </c>
      <c r="D69" s="26" t="s">
        <v>450</v>
      </c>
      <c r="E69" s="26" t="s">
        <v>383</v>
      </c>
      <c r="F69" s="26" t="s">
        <v>459</v>
      </c>
      <c r="G69" s="26" t="s">
        <v>454</v>
      </c>
      <c r="H69" s="26" t="s">
        <v>460</v>
      </c>
      <c r="I69" s="26" t="s">
        <v>453</v>
      </c>
      <c r="J69" s="26" t="s">
        <v>452</v>
      </c>
      <c r="K69" s="26" t="s">
        <v>461</v>
      </c>
      <c r="L69" s="26" t="s">
        <v>7</v>
      </c>
      <c r="M69" s="25">
        <f>_xlfn.XLOOKUP(questoes!$L69,Tabela2[LETRA],Tabela2[IND],"",0)</f>
        <v>3</v>
      </c>
      <c r="N69" s="26">
        <v>3</v>
      </c>
      <c r="O69" s="26" t="s">
        <v>462</v>
      </c>
      <c r="P69" s="26" t="s">
        <v>458</v>
      </c>
      <c r="Q69" s="26">
        <v>47</v>
      </c>
    </row>
    <row r="70" spans="1:17" s="4" customFormat="1" ht="120" x14ac:dyDescent="0.25">
      <c r="A70" s="21" t="s">
        <v>480</v>
      </c>
      <c r="B70" s="22" t="s">
        <v>14</v>
      </c>
      <c r="C70" s="23" t="s">
        <v>449</v>
      </c>
      <c r="D70" s="23" t="s">
        <v>450</v>
      </c>
      <c r="E70" s="23" t="s">
        <v>383</v>
      </c>
      <c r="F70" s="23" t="s">
        <v>463</v>
      </c>
      <c r="G70" s="23" t="s">
        <v>464</v>
      </c>
      <c r="H70" s="23" t="s">
        <v>465</v>
      </c>
      <c r="I70" s="23" t="s">
        <v>466</v>
      </c>
      <c r="J70" s="23" t="s">
        <v>467</v>
      </c>
      <c r="K70" s="23" t="s">
        <v>468</v>
      </c>
      <c r="L70" s="23" t="s">
        <v>6</v>
      </c>
      <c r="M70" s="22">
        <f>_xlfn.XLOOKUP(questoes!$L70,Tabela2[LETRA],Tabela2[IND],"",0)</f>
        <v>2</v>
      </c>
      <c r="N70" s="23">
        <v>2</v>
      </c>
      <c r="O70" s="23" t="s">
        <v>469</v>
      </c>
      <c r="P70" s="23" t="s">
        <v>470</v>
      </c>
      <c r="Q70" s="23">
        <v>45</v>
      </c>
    </row>
    <row r="71" spans="1:17" s="4" customFormat="1" ht="135" x14ac:dyDescent="0.25">
      <c r="A71" s="24" t="s">
        <v>481</v>
      </c>
      <c r="B71" s="25" t="s">
        <v>14</v>
      </c>
      <c r="C71" s="26" t="s">
        <v>449</v>
      </c>
      <c r="D71" s="26" t="s">
        <v>450</v>
      </c>
      <c r="E71" s="26" t="s">
        <v>383</v>
      </c>
      <c r="F71" s="26" t="s">
        <v>471</v>
      </c>
      <c r="G71" s="26" t="s">
        <v>472</v>
      </c>
      <c r="H71" s="26" t="s">
        <v>473</v>
      </c>
      <c r="I71" s="26" t="s">
        <v>474</v>
      </c>
      <c r="J71" s="26" t="s">
        <v>475</v>
      </c>
      <c r="K71" s="26" t="s">
        <v>476</v>
      </c>
      <c r="L71" s="26" t="s">
        <v>6</v>
      </c>
      <c r="M71" s="25">
        <f>_xlfn.XLOOKUP(questoes!$L71,Tabela2[LETRA],Tabela2[IND],"",0)</f>
        <v>2</v>
      </c>
      <c r="N71" s="26">
        <v>2</v>
      </c>
      <c r="O71" s="26" t="s">
        <v>477</v>
      </c>
      <c r="P71" s="26" t="s">
        <v>458</v>
      </c>
      <c r="Q71" s="26">
        <v>47</v>
      </c>
    </row>
    <row r="72" spans="1:17" s="4" customFormat="1" ht="135" x14ac:dyDescent="0.25">
      <c r="A72" s="21" t="s">
        <v>482</v>
      </c>
      <c r="B72" s="22" t="s">
        <v>14</v>
      </c>
      <c r="C72" s="23" t="s">
        <v>449</v>
      </c>
      <c r="D72" s="23" t="s">
        <v>450</v>
      </c>
      <c r="E72" s="23" t="s">
        <v>383</v>
      </c>
      <c r="F72" s="23" t="s">
        <v>496</v>
      </c>
      <c r="G72" s="23" t="s">
        <v>497</v>
      </c>
      <c r="H72" s="23" t="s">
        <v>498</v>
      </c>
      <c r="I72" s="23" t="s">
        <v>499</v>
      </c>
      <c r="J72" s="23" t="s">
        <v>500</v>
      </c>
      <c r="K72" s="23" t="s">
        <v>501</v>
      </c>
      <c r="L72" s="23" t="s">
        <v>5</v>
      </c>
      <c r="M72" s="22">
        <f>_xlfn.XLOOKUP(questoes!$L72,Tabela2[LETRA],Tabela2[IND],"",0)</f>
        <v>1</v>
      </c>
      <c r="N72" s="23">
        <v>1</v>
      </c>
      <c r="O72" s="23" t="s">
        <v>502</v>
      </c>
      <c r="P72" s="23" t="s">
        <v>503</v>
      </c>
      <c r="Q72" s="23">
        <v>44</v>
      </c>
    </row>
    <row r="73" spans="1:17" s="4" customFormat="1" ht="135" x14ac:dyDescent="0.25">
      <c r="A73" s="24" t="s">
        <v>483</v>
      </c>
      <c r="B73" s="25" t="s">
        <v>14</v>
      </c>
      <c r="C73" s="26" t="s">
        <v>449</v>
      </c>
      <c r="D73" s="26" t="s">
        <v>450</v>
      </c>
      <c r="E73" s="26" t="s">
        <v>383</v>
      </c>
      <c r="F73" s="26" t="s">
        <v>504</v>
      </c>
      <c r="G73" s="26" t="s">
        <v>505</v>
      </c>
      <c r="H73" s="26" t="s">
        <v>506</v>
      </c>
      <c r="I73" s="26" t="s">
        <v>507</v>
      </c>
      <c r="J73" s="26" t="s">
        <v>508</v>
      </c>
      <c r="K73" s="26" t="s">
        <v>509</v>
      </c>
      <c r="L73" s="26" t="s">
        <v>7</v>
      </c>
      <c r="M73" s="25">
        <f>_xlfn.XLOOKUP(questoes!$L73,Tabela2[LETRA],Tabela2[IND],"",0)</f>
        <v>3</v>
      </c>
      <c r="N73" s="26">
        <v>3</v>
      </c>
      <c r="O73" s="26" t="s">
        <v>510</v>
      </c>
      <c r="P73" s="26" t="s">
        <v>503</v>
      </c>
      <c r="Q73" s="26">
        <v>44</v>
      </c>
    </row>
    <row r="74" spans="1:17" s="4" customFormat="1" ht="135" x14ac:dyDescent="0.25">
      <c r="A74" s="21" t="s">
        <v>484</v>
      </c>
      <c r="B74" s="22" t="s">
        <v>14</v>
      </c>
      <c r="C74" s="23" t="s">
        <v>449</v>
      </c>
      <c r="D74" s="23" t="s">
        <v>450</v>
      </c>
      <c r="E74" s="23" t="s">
        <v>383</v>
      </c>
      <c r="F74" s="23" t="s">
        <v>511</v>
      </c>
      <c r="G74" s="23" t="s">
        <v>512</v>
      </c>
      <c r="H74" s="23" t="s">
        <v>513</v>
      </c>
      <c r="I74" s="23" t="s">
        <v>514</v>
      </c>
      <c r="J74" s="23" t="s">
        <v>515</v>
      </c>
      <c r="K74" s="23" t="s">
        <v>499</v>
      </c>
      <c r="L74" s="23" t="s">
        <v>4</v>
      </c>
      <c r="M74" s="22">
        <f>_xlfn.XLOOKUP(questoes!$L74,Tabela2[LETRA],Tabela2[IND],"",0)</f>
        <v>0</v>
      </c>
      <c r="N74" s="23">
        <v>0</v>
      </c>
      <c r="O74" s="23" t="s">
        <v>516</v>
      </c>
      <c r="P74" s="23" t="s">
        <v>503</v>
      </c>
      <c r="Q74" s="23">
        <v>44</v>
      </c>
    </row>
    <row r="75" spans="1:17" s="4" customFormat="1" ht="120" x14ac:dyDescent="0.25">
      <c r="A75" s="24" t="s">
        <v>485</v>
      </c>
      <c r="B75" s="25" t="s">
        <v>14</v>
      </c>
      <c r="C75" s="26" t="s">
        <v>449</v>
      </c>
      <c r="D75" s="26" t="s">
        <v>450</v>
      </c>
      <c r="E75" s="26" t="s">
        <v>383</v>
      </c>
      <c r="F75" s="26" t="s">
        <v>517</v>
      </c>
      <c r="G75" s="26" t="s">
        <v>518</v>
      </c>
      <c r="H75" s="26" t="s">
        <v>519</v>
      </c>
      <c r="I75" s="26" t="s">
        <v>520</v>
      </c>
      <c r="J75" s="26" t="s">
        <v>521</v>
      </c>
      <c r="K75" s="26" t="s">
        <v>522</v>
      </c>
      <c r="L75" s="26" t="s">
        <v>7</v>
      </c>
      <c r="M75" s="25">
        <f>_xlfn.XLOOKUP(questoes!$L75,Tabela2[LETRA],Tabela2[IND],"",0)</f>
        <v>3</v>
      </c>
      <c r="N75" s="26">
        <v>3</v>
      </c>
      <c r="O75" s="26" t="s">
        <v>523</v>
      </c>
      <c r="P75" s="26" t="s">
        <v>524</v>
      </c>
      <c r="Q75" s="26">
        <v>42</v>
      </c>
    </row>
    <row r="76" spans="1:17" ht="120" x14ac:dyDescent="0.25">
      <c r="A76" s="21" t="s">
        <v>486</v>
      </c>
      <c r="B76" s="22" t="s">
        <v>14</v>
      </c>
      <c r="C76" s="23" t="s">
        <v>449</v>
      </c>
      <c r="D76" s="23" t="s">
        <v>450</v>
      </c>
      <c r="E76" s="23" t="s">
        <v>383</v>
      </c>
      <c r="F76" s="23" t="s">
        <v>1012</v>
      </c>
      <c r="G76" s="23" t="s">
        <v>1013</v>
      </c>
      <c r="H76" s="23" t="s">
        <v>1014</v>
      </c>
      <c r="I76" s="23" t="s">
        <v>1015</v>
      </c>
      <c r="J76" s="23" t="s">
        <v>1016</v>
      </c>
      <c r="K76" s="23" t="s">
        <v>1017</v>
      </c>
      <c r="L76" s="23" t="s">
        <v>5</v>
      </c>
      <c r="M76" s="22">
        <f>_xlfn.XLOOKUP(questoes!$L76,Tabela2[LETRA],Tabela2[IND],"",0)</f>
        <v>1</v>
      </c>
      <c r="N76" s="23">
        <v>1</v>
      </c>
      <c r="O76" s="23" t="s">
        <v>1018</v>
      </c>
      <c r="P76" s="23" t="s">
        <v>1019</v>
      </c>
      <c r="Q76" s="23">
        <v>38</v>
      </c>
    </row>
    <row r="77" spans="1:17" ht="135" x14ac:dyDescent="0.25">
      <c r="A77" s="24" t="s">
        <v>487</v>
      </c>
      <c r="B77" s="25" t="s">
        <v>14</v>
      </c>
      <c r="C77" s="26" t="s">
        <v>449</v>
      </c>
      <c r="D77" s="26" t="s">
        <v>450</v>
      </c>
      <c r="E77" s="26" t="s">
        <v>383</v>
      </c>
      <c r="F77" s="26" t="s">
        <v>1020</v>
      </c>
      <c r="G77" s="26" t="s">
        <v>1021</v>
      </c>
      <c r="H77" s="26" t="s">
        <v>513</v>
      </c>
      <c r="I77" s="26" t="s">
        <v>497</v>
      </c>
      <c r="J77" s="26" t="s">
        <v>1022</v>
      </c>
      <c r="K77" s="26" t="s">
        <v>453</v>
      </c>
      <c r="L77" s="26" t="s">
        <v>6</v>
      </c>
      <c r="M77" s="25">
        <f>_xlfn.XLOOKUP(questoes!$L77,Tabela2[LETRA],Tabela2[IND],"",0)</f>
        <v>2</v>
      </c>
      <c r="N77" s="26">
        <v>2</v>
      </c>
      <c r="O77" s="26" t="s">
        <v>1023</v>
      </c>
      <c r="P77" s="26" t="s">
        <v>1024</v>
      </c>
      <c r="Q77" s="26">
        <v>40</v>
      </c>
    </row>
    <row r="78" spans="1:17" ht="120" x14ac:dyDescent="0.25">
      <c r="A78" s="21" t="s">
        <v>488</v>
      </c>
      <c r="B78" s="22" t="s">
        <v>14</v>
      </c>
      <c r="C78" s="23" t="s">
        <v>449</v>
      </c>
      <c r="D78" s="23" t="s">
        <v>450</v>
      </c>
      <c r="E78" s="23" t="s">
        <v>383</v>
      </c>
      <c r="F78" s="23" t="s">
        <v>1025</v>
      </c>
      <c r="G78" s="23" t="s">
        <v>1026</v>
      </c>
      <c r="H78" s="23" t="s">
        <v>1014</v>
      </c>
      <c r="I78" s="23" t="s">
        <v>1015</v>
      </c>
      <c r="J78" s="23" t="s">
        <v>1027</v>
      </c>
      <c r="K78" s="23" t="s">
        <v>1028</v>
      </c>
      <c r="L78" s="23" t="s">
        <v>6</v>
      </c>
      <c r="M78" s="22">
        <f>_xlfn.XLOOKUP(questoes!$L78,Tabela2[LETRA],Tabela2[IND],"",0)</f>
        <v>2</v>
      </c>
      <c r="N78" s="23">
        <v>2</v>
      </c>
      <c r="O78" s="23" t="s">
        <v>1029</v>
      </c>
      <c r="P78" s="23" t="s">
        <v>524</v>
      </c>
      <c r="Q78" s="23">
        <v>42</v>
      </c>
    </row>
    <row r="79" spans="1:17" ht="135" x14ac:dyDescent="0.25">
      <c r="A79" s="24" t="s">
        <v>489</v>
      </c>
      <c r="B79" s="25" t="s">
        <v>14</v>
      </c>
      <c r="C79" s="26" t="s">
        <v>449</v>
      </c>
      <c r="D79" s="26" t="s">
        <v>450</v>
      </c>
      <c r="E79" s="26" t="s">
        <v>383</v>
      </c>
      <c r="F79" s="26" t="s">
        <v>1030</v>
      </c>
      <c r="G79" s="26" t="s">
        <v>1022</v>
      </c>
      <c r="H79" s="26" t="s">
        <v>513</v>
      </c>
      <c r="I79" s="26" t="s">
        <v>1021</v>
      </c>
      <c r="J79" s="26" t="s">
        <v>454</v>
      </c>
      <c r="K79" s="26" t="s">
        <v>1031</v>
      </c>
      <c r="L79" s="26" t="s">
        <v>5</v>
      </c>
      <c r="M79" s="25">
        <f>_xlfn.XLOOKUP(questoes!$L79,Tabela2[LETRA],Tabela2[IND],"",0)</f>
        <v>1</v>
      </c>
      <c r="N79" s="26">
        <v>1</v>
      </c>
      <c r="O79" s="26" t="s">
        <v>1032</v>
      </c>
      <c r="P79" s="26" t="s">
        <v>1033</v>
      </c>
      <c r="Q79" s="26">
        <v>44</v>
      </c>
    </row>
    <row r="80" spans="1:17" ht="180" x14ac:dyDescent="0.25">
      <c r="A80" s="21" t="s">
        <v>490</v>
      </c>
      <c r="B80" s="22" t="s">
        <v>14</v>
      </c>
      <c r="C80" s="23" t="s">
        <v>449</v>
      </c>
      <c r="D80" s="23" t="s">
        <v>450</v>
      </c>
      <c r="E80" s="23" t="s">
        <v>383</v>
      </c>
      <c r="F80" s="23" t="s">
        <v>1034</v>
      </c>
      <c r="G80" s="23" t="s">
        <v>1035</v>
      </c>
      <c r="H80" s="23" t="s">
        <v>1036</v>
      </c>
      <c r="I80" s="23" t="s">
        <v>1037</v>
      </c>
      <c r="J80" s="23" t="s">
        <v>1038</v>
      </c>
      <c r="K80" s="23" t="s">
        <v>1039</v>
      </c>
      <c r="L80" s="23" t="s">
        <v>6</v>
      </c>
      <c r="M80" s="22">
        <f>_xlfn.XLOOKUP(questoes!$L80,Tabela2[LETRA],Tabela2[IND],"",0)</f>
        <v>2</v>
      </c>
      <c r="N80" s="23">
        <v>2</v>
      </c>
      <c r="O80" s="23" t="s">
        <v>1040</v>
      </c>
      <c r="P80" s="23" t="s">
        <v>1041</v>
      </c>
      <c r="Q80" s="23">
        <v>38</v>
      </c>
    </row>
    <row r="81" spans="1:17" ht="135" x14ac:dyDescent="0.25">
      <c r="A81" s="24" t="s">
        <v>491</v>
      </c>
      <c r="B81" s="25" t="s">
        <v>14</v>
      </c>
      <c r="C81" s="26" t="s">
        <v>449</v>
      </c>
      <c r="D81" s="26" t="s">
        <v>450</v>
      </c>
      <c r="E81" s="26" t="s">
        <v>383</v>
      </c>
      <c r="F81" s="26" t="s">
        <v>1042</v>
      </c>
      <c r="G81" s="26" t="s">
        <v>1043</v>
      </c>
      <c r="H81" s="26" t="s">
        <v>1044</v>
      </c>
      <c r="I81" s="26" t="s">
        <v>1045</v>
      </c>
      <c r="J81" s="26" t="s">
        <v>93</v>
      </c>
      <c r="K81" s="26" t="s">
        <v>1046</v>
      </c>
      <c r="L81" s="26" t="s">
        <v>6</v>
      </c>
      <c r="M81" s="25">
        <f>_xlfn.XLOOKUP(questoes!$L81,Tabela2[LETRA],Tabela2[IND],"",0)</f>
        <v>2</v>
      </c>
      <c r="N81" s="26">
        <v>2</v>
      </c>
      <c r="O81" s="26" t="s">
        <v>1047</v>
      </c>
      <c r="P81" s="26" t="s">
        <v>1048</v>
      </c>
      <c r="Q81" s="26">
        <v>37</v>
      </c>
    </row>
    <row r="82" spans="1:17" ht="135" x14ac:dyDescent="0.25">
      <c r="A82" s="21" t="s">
        <v>492</v>
      </c>
      <c r="B82" s="22" t="s">
        <v>14</v>
      </c>
      <c r="C82" s="23" t="s">
        <v>449</v>
      </c>
      <c r="D82" s="23" t="s">
        <v>450</v>
      </c>
      <c r="E82" s="23" t="s">
        <v>383</v>
      </c>
      <c r="F82" s="23" t="s">
        <v>1049</v>
      </c>
      <c r="G82" s="23" t="s">
        <v>1050</v>
      </c>
      <c r="H82" s="23" t="s">
        <v>1045</v>
      </c>
      <c r="I82" s="23" t="s">
        <v>1043</v>
      </c>
      <c r="J82" s="23" t="s">
        <v>1046</v>
      </c>
      <c r="K82" s="23" t="s">
        <v>93</v>
      </c>
      <c r="L82" s="23" t="s">
        <v>5</v>
      </c>
      <c r="M82" s="22">
        <f>_xlfn.XLOOKUP(questoes!$L82,Tabela2[LETRA],Tabela2[IND],"",0)</f>
        <v>1</v>
      </c>
      <c r="N82" s="23">
        <v>1</v>
      </c>
      <c r="O82" s="23" t="s">
        <v>1051</v>
      </c>
      <c r="P82" s="23" t="s">
        <v>1048</v>
      </c>
      <c r="Q82" s="23">
        <v>37</v>
      </c>
    </row>
    <row r="83" spans="1:17" ht="135" x14ac:dyDescent="0.25">
      <c r="A83" s="24" t="s">
        <v>493</v>
      </c>
      <c r="B83" s="25" t="s">
        <v>14</v>
      </c>
      <c r="C83" s="26" t="s">
        <v>449</v>
      </c>
      <c r="D83" s="26" t="s">
        <v>450</v>
      </c>
      <c r="E83" s="26" t="s">
        <v>383</v>
      </c>
      <c r="F83" s="26" t="s">
        <v>1052</v>
      </c>
      <c r="G83" s="26" t="s">
        <v>1053</v>
      </c>
      <c r="H83" s="26" t="s">
        <v>1054</v>
      </c>
      <c r="I83" s="26" t="s">
        <v>1055</v>
      </c>
      <c r="J83" s="26" t="s">
        <v>1056</v>
      </c>
      <c r="K83" s="26" t="s">
        <v>1057</v>
      </c>
      <c r="L83" s="26" t="s">
        <v>7</v>
      </c>
      <c r="M83" s="25">
        <f>_xlfn.XLOOKUP(questoes!$L83,Tabela2[LETRA],Tabela2[IND],"",0)</f>
        <v>3</v>
      </c>
      <c r="N83" s="26">
        <v>3</v>
      </c>
      <c r="O83" s="26" t="s">
        <v>1058</v>
      </c>
      <c r="P83" s="26" t="s">
        <v>1059</v>
      </c>
      <c r="Q83" s="26">
        <v>37</v>
      </c>
    </row>
    <row r="84" spans="1:17" ht="135" x14ac:dyDescent="0.25">
      <c r="A84" s="21" t="s">
        <v>494</v>
      </c>
      <c r="B84" s="22" t="s">
        <v>14</v>
      </c>
      <c r="C84" s="23" t="s">
        <v>449</v>
      </c>
      <c r="D84" s="23" t="s">
        <v>450</v>
      </c>
      <c r="E84" s="23" t="s">
        <v>383</v>
      </c>
      <c r="F84" s="23" t="s">
        <v>1060</v>
      </c>
      <c r="G84" s="23" t="s">
        <v>1045</v>
      </c>
      <c r="H84" s="23" t="s">
        <v>93</v>
      </c>
      <c r="I84" s="23" t="s">
        <v>1043</v>
      </c>
      <c r="J84" s="23" t="s">
        <v>1046</v>
      </c>
      <c r="K84" s="23" t="s">
        <v>664</v>
      </c>
      <c r="L84" s="23" t="s">
        <v>6</v>
      </c>
      <c r="M84" s="22">
        <f>_xlfn.XLOOKUP(questoes!$L84,Tabela2[LETRA],Tabela2[IND],"",0)</f>
        <v>2</v>
      </c>
      <c r="N84" s="23">
        <v>2</v>
      </c>
      <c r="O84" s="23" t="s">
        <v>1061</v>
      </c>
      <c r="P84" s="23" t="s">
        <v>1059</v>
      </c>
      <c r="Q84" s="23">
        <v>37</v>
      </c>
    </row>
    <row r="85" spans="1:17" ht="150" x14ac:dyDescent="0.25">
      <c r="A85" s="24" t="s">
        <v>495</v>
      </c>
      <c r="B85" s="25" t="s">
        <v>14</v>
      </c>
      <c r="C85" s="26" t="s">
        <v>449</v>
      </c>
      <c r="D85" s="26" t="s">
        <v>450</v>
      </c>
      <c r="E85" s="26" t="s">
        <v>383</v>
      </c>
      <c r="F85" s="26" t="s">
        <v>1062</v>
      </c>
      <c r="G85" s="26" t="s">
        <v>1063</v>
      </c>
      <c r="H85" s="26" t="s">
        <v>1064</v>
      </c>
      <c r="I85" s="26" t="s">
        <v>1065</v>
      </c>
      <c r="J85" s="26" t="s">
        <v>1066</v>
      </c>
      <c r="K85" s="26" t="s">
        <v>1067</v>
      </c>
      <c r="L85" s="26" t="s">
        <v>5</v>
      </c>
      <c r="M85" s="25">
        <f>_xlfn.XLOOKUP(questoes!$L85,Tabela2[LETRA],Tabela2[IND],"",0)</f>
        <v>1</v>
      </c>
      <c r="N85" s="26">
        <v>1</v>
      </c>
      <c r="O85" s="26" t="s">
        <v>1068</v>
      </c>
      <c r="P85" s="26" t="s">
        <v>1069</v>
      </c>
      <c r="Q85" s="26">
        <v>37</v>
      </c>
    </row>
    <row r="86" spans="1:17" s="5" customFormat="1" ht="165" x14ac:dyDescent="0.25">
      <c r="A86" s="27" t="s">
        <v>526</v>
      </c>
      <c r="B86" s="28" t="s">
        <v>14</v>
      </c>
      <c r="C86" s="29" t="s">
        <v>593</v>
      </c>
      <c r="D86" s="29" t="s">
        <v>594</v>
      </c>
      <c r="E86" s="29" t="s">
        <v>383</v>
      </c>
      <c r="F86" s="29" t="s">
        <v>595</v>
      </c>
      <c r="G86" s="29" t="s">
        <v>596</v>
      </c>
      <c r="H86" s="29" t="s">
        <v>597</v>
      </c>
      <c r="I86" s="29" t="s">
        <v>598</v>
      </c>
      <c r="J86" s="29" t="s">
        <v>599</v>
      </c>
      <c r="K86" s="29" t="s">
        <v>600</v>
      </c>
      <c r="L86" s="29" t="s">
        <v>6</v>
      </c>
      <c r="M86" s="30">
        <f>_xlfn.XLOOKUP(questoes!$L86,Tabela2[LETRA],Tabela2[IND],"",0)</f>
        <v>2</v>
      </c>
      <c r="N86" s="29">
        <v>2</v>
      </c>
      <c r="O86" s="29" t="s">
        <v>601</v>
      </c>
      <c r="P86" s="29" t="s">
        <v>602</v>
      </c>
      <c r="Q86" s="29">
        <v>54</v>
      </c>
    </row>
    <row r="87" spans="1:17" s="5" customFormat="1" ht="180" x14ac:dyDescent="0.25">
      <c r="A87" s="31" t="s">
        <v>527</v>
      </c>
      <c r="B87" s="32" t="s">
        <v>14</v>
      </c>
      <c r="C87" s="33" t="s">
        <v>593</v>
      </c>
      <c r="D87" s="33" t="s">
        <v>594</v>
      </c>
      <c r="E87" s="33" t="s">
        <v>383</v>
      </c>
      <c r="F87" s="33" t="s">
        <v>603</v>
      </c>
      <c r="G87" s="33" t="s">
        <v>604</v>
      </c>
      <c r="H87" s="33" t="s">
        <v>391</v>
      </c>
      <c r="I87" s="33" t="s">
        <v>605</v>
      </c>
      <c r="J87" s="33" t="s">
        <v>606</v>
      </c>
      <c r="K87" s="33" t="s">
        <v>497</v>
      </c>
      <c r="L87" s="33" t="s">
        <v>6</v>
      </c>
      <c r="M87" s="34">
        <f>_xlfn.XLOOKUP(questoes!$L87,Tabela2[LETRA],Tabela2[IND],"",0)</f>
        <v>2</v>
      </c>
      <c r="N87" s="33">
        <v>2</v>
      </c>
      <c r="O87" s="33" t="s">
        <v>607</v>
      </c>
      <c r="P87" s="33" t="s">
        <v>608</v>
      </c>
      <c r="Q87" s="33">
        <v>54</v>
      </c>
    </row>
    <row r="88" spans="1:17" s="5" customFormat="1" ht="165" x14ac:dyDescent="0.25">
      <c r="A88" s="27" t="s">
        <v>528</v>
      </c>
      <c r="B88" s="28" t="s">
        <v>14</v>
      </c>
      <c r="C88" s="29" t="s">
        <v>593</v>
      </c>
      <c r="D88" s="29" t="s">
        <v>594</v>
      </c>
      <c r="E88" s="29" t="s">
        <v>383</v>
      </c>
      <c r="F88" s="29" t="s">
        <v>609</v>
      </c>
      <c r="G88" s="29" t="s">
        <v>610</v>
      </c>
      <c r="H88" s="29" t="s">
        <v>611</v>
      </c>
      <c r="I88" s="29" t="s">
        <v>298</v>
      </c>
      <c r="J88" s="29" t="s">
        <v>612</v>
      </c>
      <c r="K88" s="29" t="s">
        <v>613</v>
      </c>
      <c r="L88" s="29" t="s">
        <v>5</v>
      </c>
      <c r="M88" s="30">
        <f>_xlfn.XLOOKUP(questoes!$L88,Tabela2[LETRA],Tabela2[IND],"",0)</f>
        <v>1</v>
      </c>
      <c r="N88" s="29">
        <v>1</v>
      </c>
      <c r="O88" s="29" t="s">
        <v>614</v>
      </c>
      <c r="P88" s="29" t="s">
        <v>602</v>
      </c>
      <c r="Q88" s="29">
        <v>54</v>
      </c>
    </row>
    <row r="89" spans="1:17" s="5" customFormat="1" ht="165" x14ac:dyDescent="0.25">
      <c r="A89" s="31" t="s">
        <v>529</v>
      </c>
      <c r="B89" s="32" t="s">
        <v>14</v>
      </c>
      <c r="C89" s="33" t="s">
        <v>593</v>
      </c>
      <c r="D89" s="33" t="s">
        <v>594</v>
      </c>
      <c r="E89" s="33" t="s">
        <v>383</v>
      </c>
      <c r="F89" s="33" t="s">
        <v>615</v>
      </c>
      <c r="G89" s="33" t="s">
        <v>616</v>
      </c>
      <c r="H89" s="33" t="s">
        <v>617</v>
      </c>
      <c r="I89" s="33" t="s">
        <v>618</v>
      </c>
      <c r="J89" s="33" t="s">
        <v>619</v>
      </c>
      <c r="K89" s="33" t="s">
        <v>620</v>
      </c>
      <c r="L89" s="33" t="s">
        <v>6</v>
      </c>
      <c r="M89" s="34">
        <f>_xlfn.XLOOKUP(questoes!$L89,Tabela2[LETRA],Tabela2[IND],"",0)</f>
        <v>2</v>
      </c>
      <c r="N89" s="33">
        <v>2</v>
      </c>
      <c r="O89" s="33" t="s">
        <v>621</v>
      </c>
      <c r="P89" s="33" t="s">
        <v>602</v>
      </c>
      <c r="Q89" s="33">
        <v>54</v>
      </c>
    </row>
    <row r="90" spans="1:17" s="11" customFormat="1" ht="120" x14ac:dyDescent="0.25">
      <c r="A90" s="27" t="s">
        <v>530</v>
      </c>
      <c r="B90" s="28" t="s">
        <v>14</v>
      </c>
      <c r="C90" s="29" t="s">
        <v>593</v>
      </c>
      <c r="D90" s="29" t="s">
        <v>622</v>
      </c>
      <c r="E90" s="29" t="s">
        <v>383</v>
      </c>
      <c r="F90" s="29" t="s">
        <v>623</v>
      </c>
      <c r="G90" s="29" t="s">
        <v>624</v>
      </c>
      <c r="H90" s="29" t="s">
        <v>625</v>
      </c>
      <c r="I90" s="29" t="s">
        <v>626</v>
      </c>
      <c r="J90" s="29" t="s">
        <v>627</v>
      </c>
      <c r="K90" s="29" t="s">
        <v>628</v>
      </c>
      <c r="L90" s="29" t="s">
        <v>5</v>
      </c>
      <c r="M90" s="30">
        <f>_xlfn.XLOOKUP(questoes!$L90,Tabela2[LETRA],Tabela2[IND],"",0)</f>
        <v>1</v>
      </c>
      <c r="N90" s="29">
        <v>1</v>
      </c>
      <c r="O90" s="29" t="s">
        <v>629</v>
      </c>
      <c r="P90" s="29" t="s">
        <v>630</v>
      </c>
      <c r="Q90" s="29">
        <v>52</v>
      </c>
    </row>
    <row r="91" spans="1:17" s="11" customFormat="1" ht="150" x14ac:dyDescent="0.25">
      <c r="A91" s="31" t="s">
        <v>531</v>
      </c>
      <c r="B91" s="32" t="s">
        <v>14</v>
      </c>
      <c r="C91" s="33" t="s">
        <v>593</v>
      </c>
      <c r="D91" s="33" t="s">
        <v>622</v>
      </c>
      <c r="E91" s="33" t="s">
        <v>383</v>
      </c>
      <c r="F91" s="33" t="s">
        <v>631</v>
      </c>
      <c r="G91" s="33" t="s">
        <v>632</v>
      </c>
      <c r="H91" s="33" t="s">
        <v>633</v>
      </c>
      <c r="I91" s="33" t="s">
        <v>634</v>
      </c>
      <c r="J91" s="33" t="s">
        <v>635</v>
      </c>
      <c r="K91" s="33" t="s">
        <v>636</v>
      </c>
      <c r="L91" s="33" t="s">
        <v>6</v>
      </c>
      <c r="M91" s="34">
        <f>_xlfn.XLOOKUP(questoes!$L91,Tabela2[LETRA],Tabela2[IND],"",0)</f>
        <v>2</v>
      </c>
      <c r="N91" s="33">
        <v>2</v>
      </c>
      <c r="O91" s="33" t="s">
        <v>637</v>
      </c>
      <c r="P91" s="33" t="s">
        <v>638</v>
      </c>
      <c r="Q91" s="33">
        <v>53</v>
      </c>
    </row>
    <row r="92" spans="1:17" s="11" customFormat="1" ht="210" x14ac:dyDescent="0.25">
      <c r="A92" s="27" t="s">
        <v>532</v>
      </c>
      <c r="B92" s="28" t="s">
        <v>14</v>
      </c>
      <c r="C92" s="29" t="s">
        <v>593</v>
      </c>
      <c r="D92" s="29" t="s">
        <v>622</v>
      </c>
      <c r="E92" s="29" t="s">
        <v>383</v>
      </c>
      <c r="F92" s="29" t="s">
        <v>639</v>
      </c>
      <c r="G92" s="29" t="s">
        <v>640</v>
      </c>
      <c r="H92" s="29" t="s">
        <v>641</v>
      </c>
      <c r="I92" s="29" t="s">
        <v>642</v>
      </c>
      <c r="J92" s="29" t="s">
        <v>643</v>
      </c>
      <c r="K92" s="29" t="s">
        <v>644</v>
      </c>
      <c r="L92" s="29" t="s">
        <v>5</v>
      </c>
      <c r="M92" s="30">
        <f>_xlfn.XLOOKUP(questoes!$L92,Tabela2[LETRA],Tabela2[IND],"",0)</f>
        <v>1</v>
      </c>
      <c r="N92" s="29">
        <v>1</v>
      </c>
      <c r="O92" s="29" t="s">
        <v>645</v>
      </c>
      <c r="P92" s="29" t="s">
        <v>630</v>
      </c>
      <c r="Q92" s="29">
        <v>52</v>
      </c>
    </row>
    <row r="93" spans="1:17" s="11" customFormat="1" ht="150" x14ac:dyDescent="0.25">
      <c r="A93" s="31" t="s">
        <v>533</v>
      </c>
      <c r="B93" s="32" t="s">
        <v>14</v>
      </c>
      <c r="C93" s="33" t="s">
        <v>593</v>
      </c>
      <c r="D93" s="33" t="s">
        <v>622</v>
      </c>
      <c r="E93" s="33" t="s">
        <v>383</v>
      </c>
      <c r="F93" s="33" t="s">
        <v>646</v>
      </c>
      <c r="G93" s="33" t="s">
        <v>647</v>
      </c>
      <c r="H93" s="33" t="s">
        <v>648</v>
      </c>
      <c r="I93" s="33" t="s">
        <v>649</v>
      </c>
      <c r="J93" s="33" t="s">
        <v>650</v>
      </c>
      <c r="K93" s="33" t="s">
        <v>651</v>
      </c>
      <c r="L93" s="33" t="s">
        <v>7</v>
      </c>
      <c r="M93" s="34">
        <f>_xlfn.XLOOKUP(questoes!$L93,Tabela2[LETRA],Tabela2[IND],"",0)</f>
        <v>3</v>
      </c>
      <c r="N93" s="33">
        <v>3</v>
      </c>
      <c r="O93" s="33" t="s">
        <v>652</v>
      </c>
      <c r="P93" s="33" t="s">
        <v>653</v>
      </c>
      <c r="Q93" s="33">
        <v>53</v>
      </c>
    </row>
    <row r="94" spans="1:17" s="11" customFormat="1" ht="180" x14ac:dyDescent="0.25">
      <c r="A94" s="27" t="s">
        <v>534</v>
      </c>
      <c r="B94" s="28" t="s">
        <v>14</v>
      </c>
      <c r="C94" s="29" t="s">
        <v>593</v>
      </c>
      <c r="D94" s="29" t="s">
        <v>594</v>
      </c>
      <c r="E94" s="29" t="s">
        <v>383</v>
      </c>
      <c r="F94" s="29" t="s">
        <v>654</v>
      </c>
      <c r="G94" s="29" t="s">
        <v>655</v>
      </c>
      <c r="H94" s="29" t="s">
        <v>656</v>
      </c>
      <c r="I94" s="29" t="s">
        <v>657</v>
      </c>
      <c r="J94" s="29" t="s">
        <v>218</v>
      </c>
      <c r="K94" s="29" t="s">
        <v>658</v>
      </c>
      <c r="L94" s="29" t="s">
        <v>5</v>
      </c>
      <c r="M94" s="30">
        <f>_xlfn.XLOOKUP(questoes!$L94,Tabela2[LETRA],Tabela2[IND],"",0)</f>
        <v>1</v>
      </c>
      <c r="N94" s="29">
        <v>1</v>
      </c>
      <c r="O94" s="29" t="s">
        <v>659</v>
      </c>
      <c r="P94" s="29" t="s">
        <v>608</v>
      </c>
      <c r="Q94" s="29">
        <v>54</v>
      </c>
    </row>
    <row r="95" spans="1:17" s="11" customFormat="1" ht="180" x14ac:dyDescent="0.25">
      <c r="A95" s="31" t="s">
        <v>535</v>
      </c>
      <c r="B95" s="32" t="s">
        <v>14</v>
      </c>
      <c r="C95" s="33" t="s">
        <v>593</v>
      </c>
      <c r="D95" s="33" t="s">
        <v>594</v>
      </c>
      <c r="E95" s="33" t="s">
        <v>383</v>
      </c>
      <c r="F95" s="33" t="s">
        <v>660</v>
      </c>
      <c r="G95" s="33" t="s">
        <v>661</v>
      </c>
      <c r="H95" s="33" t="s">
        <v>662</v>
      </c>
      <c r="I95" s="33" t="s">
        <v>663</v>
      </c>
      <c r="J95" s="33" t="s">
        <v>664</v>
      </c>
      <c r="K95" s="33" t="s">
        <v>665</v>
      </c>
      <c r="L95" s="33" t="s">
        <v>6</v>
      </c>
      <c r="M95" s="34">
        <f>_xlfn.XLOOKUP(questoes!$L95,Tabela2[LETRA],Tabela2[IND],"",0)</f>
        <v>2</v>
      </c>
      <c r="N95" s="33">
        <v>2</v>
      </c>
      <c r="O95" s="33" t="s">
        <v>666</v>
      </c>
      <c r="P95" s="33" t="s">
        <v>608</v>
      </c>
      <c r="Q95" s="33">
        <v>54</v>
      </c>
    </row>
    <row r="96" spans="1:17" s="5" customFormat="1" ht="120" x14ac:dyDescent="0.25">
      <c r="A96" s="27" t="s">
        <v>536</v>
      </c>
      <c r="B96" s="28" t="s">
        <v>14</v>
      </c>
      <c r="C96" s="29" t="s">
        <v>593</v>
      </c>
      <c r="D96" s="29" t="s">
        <v>622</v>
      </c>
      <c r="E96" s="29" t="s">
        <v>383</v>
      </c>
      <c r="F96" s="29" t="s">
        <v>1070</v>
      </c>
      <c r="G96" s="29" t="s">
        <v>1071</v>
      </c>
      <c r="H96" s="29" t="s">
        <v>1072</v>
      </c>
      <c r="I96" s="29" t="s">
        <v>1073</v>
      </c>
      <c r="J96" s="29" t="s">
        <v>1074</v>
      </c>
      <c r="K96" s="29" t="s">
        <v>1075</v>
      </c>
      <c r="L96" s="29" t="s">
        <v>6</v>
      </c>
      <c r="M96" s="30">
        <f>_xlfn.XLOOKUP(questoes!$L96,Tabela2[LETRA],Tabela2[IND],"",0)</f>
        <v>2</v>
      </c>
      <c r="N96" s="29">
        <v>2</v>
      </c>
      <c r="O96" s="29" t="s">
        <v>1076</v>
      </c>
      <c r="P96" s="29" t="s">
        <v>1077</v>
      </c>
      <c r="Q96" s="29">
        <v>53</v>
      </c>
    </row>
    <row r="97" spans="1:17" s="5" customFormat="1" ht="135" x14ac:dyDescent="0.25">
      <c r="A97" s="31" t="s">
        <v>537</v>
      </c>
      <c r="B97" s="32" t="s">
        <v>14</v>
      </c>
      <c r="C97" s="33" t="s">
        <v>593</v>
      </c>
      <c r="D97" s="33" t="s">
        <v>622</v>
      </c>
      <c r="E97" s="33" t="s">
        <v>383</v>
      </c>
      <c r="F97" s="33" t="s">
        <v>1078</v>
      </c>
      <c r="G97" s="33" t="s">
        <v>1079</v>
      </c>
      <c r="H97" s="33" t="s">
        <v>1080</v>
      </c>
      <c r="I97" s="33" t="s">
        <v>1081</v>
      </c>
      <c r="J97" s="33" t="s">
        <v>1082</v>
      </c>
      <c r="K97" s="33" t="s">
        <v>1083</v>
      </c>
      <c r="L97" s="33" t="s">
        <v>7</v>
      </c>
      <c r="M97" s="34">
        <f>_xlfn.XLOOKUP(questoes!$L97,Tabela2[LETRA],Tabela2[IND],"",0)</f>
        <v>3</v>
      </c>
      <c r="N97" s="33">
        <v>3</v>
      </c>
      <c r="O97" s="33" t="s">
        <v>1084</v>
      </c>
      <c r="P97" s="33" t="s">
        <v>1077</v>
      </c>
      <c r="Q97" s="33">
        <v>53</v>
      </c>
    </row>
    <row r="98" spans="1:17" ht="150" x14ac:dyDescent="0.25">
      <c r="A98" s="27" t="s">
        <v>538</v>
      </c>
      <c r="B98" s="28" t="s">
        <v>14</v>
      </c>
      <c r="C98" s="29" t="s">
        <v>593</v>
      </c>
      <c r="D98" s="29" t="s">
        <v>594</v>
      </c>
      <c r="E98" s="29" t="s">
        <v>383</v>
      </c>
      <c r="F98" s="29" t="s">
        <v>1085</v>
      </c>
      <c r="G98" s="29" t="s">
        <v>1086</v>
      </c>
      <c r="H98" s="29" t="s">
        <v>1087</v>
      </c>
      <c r="I98" s="29" t="s">
        <v>1088</v>
      </c>
      <c r="J98" s="29" t="s">
        <v>1089</v>
      </c>
      <c r="K98" s="29" t="s">
        <v>1090</v>
      </c>
      <c r="L98" s="29" t="s">
        <v>7</v>
      </c>
      <c r="M98" s="30">
        <f>_xlfn.XLOOKUP(questoes!$L98,Tabela2[LETRA],Tabela2[IND],"",0)</f>
        <v>3</v>
      </c>
      <c r="N98" s="29">
        <v>3</v>
      </c>
      <c r="O98" s="29" t="s">
        <v>1091</v>
      </c>
      <c r="P98" s="29" t="s">
        <v>1092</v>
      </c>
      <c r="Q98" s="29">
        <v>53</v>
      </c>
    </row>
    <row r="99" spans="1:17" ht="150" x14ac:dyDescent="0.25">
      <c r="A99" s="31" t="s">
        <v>539</v>
      </c>
      <c r="B99" s="32" t="s">
        <v>14</v>
      </c>
      <c r="C99" s="33" t="s">
        <v>593</v>
      </c>
      <c r="D99" s="33" t="s">
        <v>594</v>
      </c>
      <c r="E99" s="33" t="s">
        <v>383</v>
      </c>
      <c r="F99" s="33" t="s">
        <v>1093</v>
      </c>
      <c r="G99" s="33" t="s">
        <v>1094</v>
      </c>
      <c r="H99" s="33" t="s">
        <v>1095</v>
      </c>
      <c r="I99" s="33" t="s">
        <v>1096</v>
      </c>
      <c r="J99" s="33" t="s">
        <v>1097</v>
      </c>
      <c r="K99" s="33" t="s">
        <v>1098</v>
      </c>
      <c r="L99" s="33" t="s">
        <v>5</v>
      </c>
      <c r="M99" s="34">
        <f>_xlfn.XLOOKUP(questoes!$L99,Tabela2[LETRA],Tabela2[IND],"",0)</f>
        <v>1</v>
      </c>
      <c r="N99" s="33">
        <v>1</v>
      </c>
      <c r="O99" s="33" t="s">
        <v>1099</v>
      </c>
      <c r="P99" s="33" t="s">
        <v>1100</v>
      </c>
      <c r="Q99" s="33">
        <v>53</v>
      </c>
    </row>
    <row r="100" spans="1:17" ht="150" x14ac:dyDescent="0.25">
      <c r="A100" s="27" t="s">
        <v>540</v>
      </c>
      <c r="B100" s="28" t="s">
        <v>14</v>
      </c>
      <c r="C100" s="29" t="s">
        <v>593</v>
      </c>
      <c r="D100" s="29" t="s">
        <v>594</v>
      </c>
      <c r="E100" s="29" t="s">
        <v>383</v>
      </c>
      <c r="F100" s="29" t="s">
        <v>1101</v>
      </c>
      <c r="G100" s="29" t="s">
        <v>1102</v>
      </c>
      <c r="H100" s="29" t="s">
        <v>1103</v>
      </c>
      <c r="I100" s="29" t="s">
        <v>1104</v>
      </c>
      <c r="J100" s="29" t="s">
        <v>1105</v>
      </c>
      <c r="K100" s="29" t="s">
        <v>1106</v>
      </c>
      <c r="L100" s="29" t="s">
        <v>6</v>
      </c>
      <c r="M100" s="30">
        <f>_xlfn.XLOOKUP(questoes!$L100,Tabela2[LETRA],Tabela2[IND],"",0)</f>
        <v>2</v>
      </c>
      <c r="N100" s="29">
        <v>2</v>
      </c>
      <c r="O100" s="29" t="s">
        <v>1107</v>
      </c>
      <c r="P100" s="29" t="s">
        <v>638</v>
      </c>
      <c r="Q100" s="29">
        <v>53</v>
      </c>
    </row>
    <row r="101" spans="1:17" ht="165" x14ac:dyDescent="0.25">
      <c r="A101" s="31" t="s">
        <v>541</v>
      </c>
      <c r="B101" s="32" t="s">
        <v>14</v>
      </c>
      <c r="C101" s="33" t="s">
        <v>593</v>
      </c>
      <c r="D101" s="33" t="s">
        <v>594</v>
      </c>
      <c r="E101" s="33" t="s">
        <v>383</v>
      </c>
      <c r="F101" s="33" t="s">
        <v>1108</v>
      </c>
      <c r="G101" s="33" t="s">
        <v>604</v>
      </c>
      <c r="H101" s="33" t="s">
        <v>218</v>
      </c>
      <c r="I101" s="33" t="s">
        <v>391</v>
      </c>
      <c r="J101" s="33" t="s">
        <v>1109</v>
      </c>
      <c r="K101" s="33" t="s">
        <v>1110</v>
      </c>
      <c r="L101" s="33" t="s">
        <v>5</v>
      </c>
      <c r="M101" s="34">
        <f>_xlfn.XLOOKUP(questoes!$L101,Tabela2[LETRA],Tabela2[IND],"",0)</f>
        <v>1</v>
      </c>
      <c r="N101" s="33">
        <v>1</v>
      </c>
      <c r="O101" s="33" t="s">
        <v>1111</v>
      </c>
      <c r="P101" s="33" t="s">
        <v>1112</v>
      </c>
      <c r="Q101" s="33">
        <v>54</v>
      </c>
    </row>
    <row r="102" spans="1:17" ht="165" x14ac:dyDescent="0.25">
      <c r="A102" s="27" t="s">
        <v>542</v>
      </c>
      <c r="B102" s="28" t="s">
        <v>14</v>
      </c>
      <c r="C102" s="29" t="s">
        <v>593</v>
      </c>
      <c r="D102" s="29" t="s">
        <v>594</v>
      </c>
      <c r="E102" s="29" t="s">
        <v>383</v>
      </c>
      <c r="F102" s="29" t="s">
        <v>1113</v>
      </c>
      <c r="G102" s="29" t="s">
        <v>1114</v>
      </c>
      <c r="H102" s="29" t="s">
        <v>1115</v>
      </c>
      <c r="I102" s="29" t="s">
        <v>1116</v>
      </c>
      <c r="J102" s="29" t="s">
        <v>1117</v>
      </c>
      <c r="K102" s="29" t="s">
        <v>453</v>
      </c>
      <c r="L102" s="29" t="s">
        <v>6</v>
      </c>
      <c r="M102" s="30">
        <f>_xlfn.XLOOKUP(questoes!$L102,Tabela2[LETRA],Tabela2[IND],"",0)</f>
        <v>2</v>
      </c>
      <c r="N102" s="29">
        <v>2</v>
      </c>
      <c r="O102" s="29" t="s">
        <v>1118</v>
      </c>
      <c r="P102" s="29" t="s">
        <v>1112</v>
      </c>
      <c r="Q102" s="29">
        <v>54</v>
      </c>
    </row>
    <row r="103" spans="1:17" ht="165" x14ac:dyDescent="0.25">
      <c r="A103" s="31" t="s">
        <v>543</v>
      </c>
      <c r="B103" s="32" t="s">
        <v>14</v>
      </c>
      <c r="C103" s="33" t="s">
        <v>593</v>
      </c>
      <c r="D103" s="33" t="s">
        <v>622</v>
      </c>
      <c r="E103" s="33" t="s">
        <v>383</v>
      </c>
      <c r="F103" s="33" t="s">
        <v>1119</v>
      </c>
      <c r="G103" s="33" t="s">
        <v>1120</v>
      </c>
      <c r="H103" s="33" t="s">
        <v>1121</v>
      </c>
      <c r="I103" s="33" t="s">
        <v>1122</v>
      </c>
      <c r="J103" s="33" t="s">
        <v>1123</v>
      </c>
      <c r="K103" s="33" t="s">
        <v>1124</v>
      </c>
      <c r="L103" s="33" t="s">
        <v>6</v>
      </c>
      <c r="M103" s="34">
        <f>_xlfn.XLOOKUP(questoes!$L103,Tabela2[LETRA],Tabela2[IND],"",0)</f>
        <v>2</v>
      </c>
      <c r="N103" s="33">
        <v>2</v>
      </c>
      <c r="O103" s="33" t="s">
        <v>1125</v>
      </c>
      <c r="P103" s="33" t="s">
        <v>1126</v>
      </c>
      <c r="Q103" s="33">
        <v>53</v>
      </c>
    </row>
    <row r="104" spans="1:17" ht="135" x14ac:dyDescent="0.25">
      <c r="A104" s="27" t="s">
        <v>544</v>
      </c>
      <c r="B104" s="28" t="s">
        <v>14</v>
      </c>
      <c r="C104" s="29" t="s">
        <v>593</v>
      </c>
      <c r="D104" s="29" t="s">
        <v>594</v>
      </c>
      <c r="E104" s="29" t="s">
        <v>383</v>
      </c>
      <c r="F104" s="29" t="s">
        <v>1127</v>
      </c>
      <c r="G104" s="29" t="s">
        <v>1128</v>
      </c>
      <c r="H104" s="29" t="s">
        <v>1129</v>
      </c>
      <c r="I104" s="29" t="s">
        <v>1130</v>
      </c>
      <c r="J104" s="29" t="s">
        <v>1131</v>
      </c>
      <c r="K104" s="29" t="s">
        <v>1132</v>
      </c>
      <c r="L104" s="29" t="s">
        <v>6</v>
      </c>
      <c r="M104" s="30">
        <f>_xlfn.XLOOKUP(questoes!$L104,Tabela2[LETRA],Tabela2[IND],"",0)</f>
        <v>2</v>
      </c>
      <c r="N104" s="29">
        <v>2</v>
      </c>
      <c r="O104" s="29" t="s">
        <v>1133</v>
      </c>
      <c r="P104" s="29" t="s">
        <v>1092</v>
      </c>
      <c r="Q104" s="29">
        <v>53</v>
      </c>
    </row>
    <row r="105" spans="1:17" ht="180" x14ac:dyDescent="0.25">
      <c r="A105" s="31" t="s">
        <v>525</v>
      </c>
      <c r="B105" s="32" t="s">
        <v>14</v>
      </c>
      <c r="C105" s="33" t="s">
        <v>593</v>
      </c>
      <c r="D105" s="33" t="s">
        <v>622</v>
      </c>
      <c r="E105" s="33" t="s">
        <v>383</v>
      </c>
      <c r="F105" s="33" t="s">
        <v>1134</v>
      </c>
      <c r="G105" s="33" t="s">
        <v>1135</v>
      </c>
      <c r="H105" s="33" t="s">
        <v>1136</v>
      </c>
      <c r="I105" s="33" t="s">
        <v>1137</v>
      </c>
      <c r="J105" s="33" t="s">
        <v>1138</v>
      </c>
      <c r="K105" s="33" t="s">
        <v>1139</v>
      </c>
      <c r="L105" s="33" t="s">
        <v>6</v>
      </c>
      <c r="M105" s="34">
        <f>_xlfn.XLOOKUP(questoes!$L105,Tabela2[LETRA],Tabela2[IND],"",0)</f>
        <v>2</v>
      </c>
      <c r="N105" s="33">
        <v>2</v>
      </c>
      <c r="O105" s="33" t="s">
        <v>1140</v>
      </c>
      <c r="P105" s="33" t="s">
        <v>630</v>
      </c>
      <c r="Q105" s="33">
        <v>52</v>
      </c>
    </row>
    <row r="106" spans="1:17" s="12" customFormat="1" ht="105" x14ac:dyDescent="0.25">
      <c r="A106" s="35" t="s">
        <v>545</v>
      </c>
      <c r="B106" s="36" t="s">
        <v>14</v>
      </c>
      <c r="C106" s="37" t="s">
        <v>667</v>
      </c>
      <c r="D106" s="37" t="s">
        <v>668</v>
      </c>
      <c r="E106" s="37" t="s">
        <v>383</v>
      </c>
      <c r="F106" s="37" t="s">
        <v>669</v>
      </c>
      <c r="G106" s="37" t="s">
        <v>670</v>
      </c>
      <c r="H106" s="37" t="s">
        <v>671</v>
      </c>
      <c r="I106" s="37" t="s">
        <v>672</v>
      </c>
      <c r="J106" s="37" t="s">
        <v>673</v>
      </c>
      <c r="K106" s="37" t="s">
        <v>674</v>
      </c>
      <c r="L106" s="37" t="s">
        <v>5</v>
      </c>
      <c r="M106" s="36">
        <f>_xlfn.XLOOKUP(questoes!$L106,Tabela2[LETRA],Tabela2[IND],"",0)</f>
        <v>1</v>
      </c>
      <c r="N106" s="37">
        <v>1</v>
      </c>
      <c r="O106" s="37" t="s">
        <v>675</v>
      </c>
      <c r="P106" s="37" t="s">
        <v>676</v>
      </c>
      <c r="Q106" s="37">
        <v>62</v>
      </c>
    </row>
    <row r="107" spans="1:17" s="12" customFormat="1" ht="105" x14ac:dyDescent="0.25">
      <c r="A107" s="38" t="s">
        <v>546</v>
      </c>
      <c r="B107" s="39" t="s">
        <v>14</v>
      </c>
      <c r="C107" s="40" t="s">
        <v>667</v>
      </c>
      <c r="D107" s="40" t="s">
        <v>668</v>
      </c>
      <c r="E107" s="40" t="s">
        <v>383</v>
      </c>
      <c r="F107" s="40" t="s">
        <v>677</v>
      </c>
      <c r="G107" s="40" t="s">
        <v>678</v>
      </c>
      <c r="H107" s="40" t="s">
        <v>679</v>
      </c>
      <c r="I107" s="40" t="s">
        <v>680</v>
      </c>
      <c r="J107" s="40" t="s">
        <v>681</v>
      </c>
      <c r="K107" s="40" t="s">
        <v>682</v>
      </c>
      <c r="L107" s="40" t="s">
        <v>4</v>
      </c>
      <c r="M107" s="39">
        <f>_xlfn.XLOOKUP(questoes!$L107,Tabela2[LETRA],Tabela2[IND],"",0)</f>
        <v>0</v>
      </c>
      <c r="N107" s="40">
        <v>0</v>
      </c>
      <c r="O107" s="40" t="s">
        <v>683</v>
      </c>
      <c r="P107" s="40" t="s">
        <v>684</v>
      </c>
      <c r="Q107" s="40">
        <v>63</v>
      </c>
    </row>
    <row r="108" spans="1:17" s="12" customFormat="1" ht="105" x14ac:dyDescent="0.25">
      <c r="A108" s="35" t="s">
        <v>547</v>
      </c>
      <c r="B108" s="36" t="s">
        <v>14</v>
      </c>
      <c r="C108" s="37" t="s">
        <v>667</v>
      </c>
      <c r="D108" s="37" t="s">
        <v>668</v>
      </c>
      <c r="E108" s="37" t="s">
        <v>383</v>
      </c>
      <c r="F108" s="37" t="s">
        <v>685</v>
      </c>
      <c r="G108" s="37" t="s">
        <v>686</v>
      </c>
      <c r="H108" s="37" t="s">
        <v>687</v>
      </c>
      <c r="I108" s="37" t="s">
        <v>688</v>
      </c>
      <c r="J108" s="37" t="s">
        <v>689</v>
      </c>
      <c r="K108" s="37" t="s">
        <v>690</v>
      </c>
      <c r="L108" s="37" t="s">
        <v>5</v>
      </c>
      <c r="M108" s="36">
        <f>_xlfn.XLOOKUP(questoes!$L108,Tabela2[LETRA],Tabela2[IND],"",0)</f>
        <v>1</v>
      </c>
      <c r="N108" s="37">
        <v>1</v>
      </c>
      <c r="O108" s="37" t="s">
        <v>691</v>
      </c>
      <c r="P108" s="37" t="s">
        <v>676</v>
      </c>
      <c r="Q108" s="37">
        <v>62</v>
      </c>
    </row>
    <row r="109" spans="1:17" s="5" customFormat="1" ht="90" x14ac:dyDescent="0.25">
      <c r="A109" s="38" t="s">
        <v>548</v>
      </c>
      <c r="B109" s="39"/>
      <c r="C109" s="40" t="s">
        <v>667</v>
      </c>
      <c r="D109" s="40" t="s">
        <v>668</v>
      </c>
      <c r="E109" s="40" t="s">
        <v>383</v>
      </c>
      <c r="F109" s="40" t="s">
        <v>693</v>
      </c>
      <c r="G109" s="40" t="s">
        <v>694</v>
      </c>
      <c r="H109" s="40" t="s">
        <v>695</v>
      </c>
      <c r="I109" s="40" t="s">
        <v>696</v>
      </c>
      <c r="J109" s="40" t="s">
        <v>697</v>
      </c>
      <c r="K109" s="40" t="s">
        <v>698</v>
      </c>
      <c r="L109" s="40" t="s">
        <v>6</v>
      </c>
      <c r="M109" s="39">
        <f>_xlfn.XLOOKUP(questoes!$L109,Tabela2[LETRA],Tabela2[IND],"",0)</f>
        <v>2</v>
      </c>
      <c r="N109" s="40">
        <v>2</v>
      </c>
      <c r="O109" s="40" t="s">
        <v>699</v>
      </c>
      <c r="P109" s="40" t="s">
        <v>700</v>
      </c>
      <c r="Q109" s="40">
        <v>73</v>
      </c>
    </row>
    <row r="110" spans="1:17" s="5" customFormat="1" ht="150" x14ac:dyDescent="0.25">
      <c r="A110" s="35" t="s">
        <v>549</v>
      </c>
      <c r="B110" s="36" t="s">
        <v>14</v>
      </c>
      <c r="C110" s="37" t="s">
        <v>667</v>
      </c>
      <c r="D110" s="37" t="s">
        <v>668</v>
      </c>
      <c r="E110" s="37" t="s">
        <v>383</v>
      </c>
      <c r="F110" s="37" t="s">
        <v>701</v>
      </c>
      <c r="G110" s="37" t="s">
        <v>702</v>
      </c>
      <c r="H110" s="37" t="s">
        <v>703</v>
      </c>
      <c r="I110" s="37" t="s">
        <v>704</v>
      </c>
      <c r="J110" s="37" t="s">
        <v>705</v>
      </c>
      <c r="K110" s="37" t="s">
        <v>706</v>
      </c>
      <c r="L110" s="37" t="s">
        <v>6</v>
      </c>
      <c r="M110" s="36">
        <f>_xlfn.XLOOKUP(questoes!$L110,Tabela2[LETRA],Tabela2[IND],"",0)</f>
        <v>2</v>
      </c>
      <c r="N110" s="37">
        <v>2</v>
      </c>
      <c r="O110" s="37" t="s">
        <v>707</v>
      </c>
      <c r="P110" s="37" t="s">
        <v>708</v>
      </c>
      <c r="Q110" s="37">
        <v>68</v>
      </c>
    </row>
    <row r="111" spans="1:17" s="5" customFormat="1" ht="150" x14ac:dyDescent="0.25">
      <c r="A111" s="38" t="s">
        <v>550</v>
      </c>
      <c r="B111" s="39" t="s">
        <v>14</v>
      </c>
      <c r="C111" s="40" t="s">
        <v>667</v>
      </c>
      <c r="D111" s="40" t="s">
        <v>668</v>
      </c>
      <c r="E111" s="40" t="s">
        <v>383</v>
      </c>
      <c r="F111" s="40" t="s">
        <v>709</v>
      </c>
      <c r="G111" s="40" t="s">
        <v>710</v>
      </c>
      <c r="H111" s="40" t="s">
        <v>711</v>
      </c>
      <c r="I111" s="40" t="s">
        <v>712</v>
      </c>
      <c r="J111" s="40" t="s">
        <v>713</v>
      </c>
      <c r="K111" s="40" t="s">
        <v>714</v>
      </c>
      <c r="L111" s="40" t="s">
        <v>6</v>
      </c>
      <c r="M111" s="39">
        <f>_xlfn.XLOOKUP(questoes!$L111,Tabela2[LETRA],Tabela2[IND],"",0)</f>
        <v>2</v>
      </c>
      <c r="N111" s="40">
        <v>2</v>
      </c>
      <c r="O111" s="40" t="s">
        <v>715</v>
      </c>
      <c r="P111" s="40" t="s">
        <v>716</v>
      </c>
      <c r="Q111" s="40">
        <v>72</v>
      </c>
    </row>
    <row r="112" spans="1:17" s="5" customFormat="1" ht="135" x14ac:dyDescent="0.25">
      <c r="A112" s="35" t="s">
        <v>551</v>
      </c>
      <c r="B112" s="36" t="s">
        <v>14</v>
      </c>
      <c r="C112" s="37" t="s">
        <v>667</v>
      </c>
      <c r="D112" s="37" t="s">
        <v>668</v>
      </c>
      <c r="E112" s="37" t="s">
        <v>383</v>
      </c>
      <c r="F112" s="37" t="s">
        <v>717</v>
      </c>
      <c r="G112" s="37" t="s">
        <v>718</v>
      </c>
      <c r="H112" s="37" t="s">
        <v>719</v>
      </c>
      <c r="I112" s="37" t="s">
        <v>720</v>
      </c>
      <c r="J112" s="37" t="s">
        <v>721</v>
      </c>
      <c r="K112" s="37" t="s">
        <v>722</v>
      </c>
      <c r="L112" s="37" t="s">
        <v>6</v>
      </c>
      <c r="M112" s="36">
        <f>_xlfn.XLOOKUP(questoes!$L112,Tabela2[LETRA],Tabela2[IND],"",0)</f>
        <v>2</v>
      </c>
      <c r="N112" s="37">
        <v>2</v>
      </c>
      <c r="O112" s="37" t="s">
        <v>723</v>
      </c>
      <c r="P112" s="37" t="s">
        <v>700</v>
      </c>
      <c r="Q112" s="37">
        <v>73</v>
      </c>
    </row>
    <row r="113" spans="1:17" s="5" customFormat="1" ht="90" x14ac:dyDescent="0.25">
      <c r="A113" s="38" t="s">
        <v>552</v>
      </c>
      <c r="B113" s="39" t="s">
        <v>14</v>
      </c>
      <c r="C113" s="40" t="s">
        <v>667</v>
      </c>
      <c r="D113" s="40" t="s">
        <v>668</v>
      </c>
      <c r="E113" s="40" t="s">
        <v>383</v>
      </c>
      <c r="F113" s="40" t="s">
        <v>724</v>
      </c>
      <c r="G113" s="40" t="s">
        <v>725</v>
      </c>
      <c r="H113" s="40" t="s">
        <v>726</v>
      </c>
      <c r="I113" s="40" t="s">
        <v>727</v>
      </c>
      <c r="J113" s="40" t="s">
        <v>728</v>
      </c>
      <c r="K113" s="40" t="s">
        <v>729</v>
      </c>
      <c r="L113" s="40" t="s">
        <v>7</v>
      </c>
      <c r="M113" s="39">
        <f>_xlfn.XLOOKUP(questoes!$L113,Tabela2[LETRA],Tabela2[IND],"",0)</f>
        <v>3</v>
      </c>
      <c r="N113" s="40">
        <v>3</v>
      </c>
      <c r="O113" s="40" t="s">
        <v>730</v>
      </c>
      <c r="P113" s="40" t="s">
        <v>700</v>
      </c>
      <c r="Q113" s="40">
        <v>73</v>
      </c>
    </row>
    <row r="114" spans="1:17" s="5" customFormat="1" ht="120" x14ac:dyDescent="0.25">
      <c r="A114" s="35" t="s">
        <v>553</v>
      </c>
      <c r="B114" s="36" t="s">
        <v>14</v>
      </c>
      <c r="C114" s="37" t="s">
        <v>667</v>
      </c>
      <c r="D114" s="37" t="s">
        <v>668</v>
      </c>
      <c r="E114" s="37" t="s">
        <v>383</v>
      </c>
      <c r="F114" s="37" t="s">
        <v>731</v>
      </c>
      <c r="G114" s="37" t="s">
        <v>732</v>
      </c>
      <c r="H114" s="37" t="s">
        <v>733</v>
      </c>
      <c r="I114" s="37" t="s">
        <v>734</v>
      </c>
      <c r="J114" s="37" t="s">
        <v>735</v>
      </c>
      <c r="K114" s="37" t="s">
        <v>736</v>
      </c>
      <c r="L114" s="37" t="s">
        <v>4</v>
      </c>
      <c r="M114" s="36">
        <f>_xlfn.XLOOKUP(questoes!$L114,Tabela2[LETRA],Tabela2[IND],"",0)</f>
        <v>0</v>
      </c>
      <c r="N114" s="37">
        <v>0</v>
      </c>
      <c r="O114" s="37" t="s">
        <v>737</v>
      </c>
      <c r="P114" s="37" t="s">
        <v>684</v>
      </c>
      <c r="Q114" s="37">
        <v>63</v>
      </c>
    </row>
    <row r="115" spans="1:17" s="5" customFormat="1" ht="105" x14ac:dyDescent="0.25">
      <c r="A115" s="38" t="s">
        <v>554</v>
      </c>
      <c r="B115" s="39" t="s">
        <v>14</v>
      </c>
      <c r="C115" s="40" t="s">
        <v>667</v>
      </c>
      <c r="D115" s="40" t="s">
        <v>668</v>
      </c>
      <c r="E115" s="40" t="s">
        <v>383</v>
      </c>
      <c r="F115" s="40" t="s">
        <v>738</v>
      </c>
      <c r="G115" s="40" t="s">
        <v>739</v>
      </c>
      <c r="H115" s="40" t="s">
        <v>740</v>
      </c>
      <c r="I115" s="40" t="s">
        <v>741</v>
      </c>
      <c r="J115" s="40" t="s">
        <v>742</v>
      </c>
      <c r="K115" s="40" t="s">
        <v>743</v>
      </c>
      <c r="L115" s="40" t="s">
        <v>4</v>
      </c>
      <c r="M115" s="39">
        <f>_xlfn.XLOOKUP(questoes!$L115,Tabela2[LETRA],Tabela2[IND],"",0)</f>
        <v>0</v>
      </c>
      <c r="N115" s="40">
        <v>0</v>
      </c>
      <c r="O115" s="40" t="s">
        <v>744</v>
      </c>
      <c r="P115" s="40" t="s">
        <v>684</v>
      </c>
      <c r="Q115" s="40">
        <v>63</v>
      </c>
    </row>
    <row r="116" spans="1:17" s="5" customFormat="1" ht="150" x14ac:dyDescent="0.25">
      <c r="A116" s="35" t="s">
        <v>555</v>
      </c>
      <c r="B116" s="36" t="s">
        <v>14</v>
      </c>
      <c r="C116" s="37" t="s">
        <v>667</v>
      </c>
      <c r="D116" s="37" t="s">
        <v>668</v>
      </c>
      <c r="E116" s="37" t="s">
        <v>383</v>
      </c>
      <c r="F116" s="37" t="s">
        <v>745</v>
      </c>
      <c r="G116" s="37" t="s">
        <v>746</v>
      </c>
      <c r="H116" s="37" t="s">
        <v>747</v>
      </c>
      <c r="I116" s="37" t="s">
        <v>748</v>
      </c>
      <c r="J116" s="37" t="s">
        <v>749</v>
      </c>
      <c r="K116" s="37" t="s">
        <v>750</v>
      </c>
      <c r="L116" s="37" t="s">
        <v>5</v>
      </c>
      <c r="M116" s="36">
        <f>_xlfn.XLOOKUP(questoes!$L116,Tabela2[LETRA],Tabela2[IND],"",0)</f>
        <v>1</v>
      </c>
      <c r="N116" s="37">
        <v>1</v>
      </c>
      <c r="O116" s="37" t="s">
        <v>751</v>
      </c>
      <c r="P116" s="37" t="s">
        <v>684</v>
      </c>
      <c r="Q116" s="37">
        <v>63</v>
      </c>
    </row>
    <row r="117" spans="1:17" s="5" customFormat="1" ht="165" x14ac:dyDescent="0.25">
      <c r="A117" s="38" t="s">
        <v>556</v>
      </c>
      <c r="B117" s="39" t="s">
        <v>14</v>
      </c>
      <c r="C117" s="40" t="s">
        <v>667</v>
      </c>
      <c r="D117" s="40" t="s">
        <v>668</v>
      </c>
      <c r="E117" s="40" t="s">
        <v>383</v>
      </c>
      <c r="F117" s="40" t="s">
        <v>752</v>
      </c>
      <c r="G117" s="40" t="s">
        <v>753</v>
      </c>
      <c r="H117" s="40" t="s">
        <v>754</v>
      </c>
      <c r="I117" s="40" t="s">
        <v>755</v>
      </c>
      <c r="J117" s="40" t="s">
        <v>756</v>
      </c>
      <c r="K117" s="40" t="s">
        <v>757</v>
      </c>
      <c r="L117" s="40" t="s">
        <v>5</v>
      </c>
      <c r="M117" s="39">
        <f>_xlfn.XLOOKUP(questoes!$L117,Tabela2[LETRA],Tabela2[IND],"",0)</f>
        <v>1</v>
      </c>
      <c r="N117" s="40">
        <v>1</v>
      </c>
      <c r="O117" s="40" t="s">
        <v>758</v>
      </c>
      <c r="P117" s="40" t="s">
        <v>684</v>
      </c>
      <c r="Q117" s="40">
        <v>63</v>
      </c>
    </row>
    <row r="118" spans="1:17" s="5" customFormat="1" ht="105" x14ac:dyDescent="0.25">
      <c r="A118" s="35" t="s">
        <v>557</v>
      </c>
      <c r="B118" s="36" t="s">
        <v>14</v>
      </c>
      <c r="C118" s="37" t="s">
        <v>667</v>
      </c>
      <c r="D118" s="37" t="s">
        <v>668</v>
      </c>
      <c r="E118" s="37" t="s">
        <v>383</v>
      </c>
      <c r="F118" s="37" t="s">
        <v>759</v>
      </c>
      <c r="G118" s="37" t="s">
        <v>760</v>
      </c>
      <c r="H118" s="37" t="s">
        <v>761</v>
      </c>
      <c r="I118" s="37" t="s">
        <v>762</v>
      </c>
      <c r="J118" s="37" t="s">
        <v>763</v>
      </c>
      <c r="K118" s="37" t="s">
        <v>764</v>
      </c>
      <c r="L118" s="37" t="s">
        <v>7</v>
      </c>
      <c r="M118" s="36">
        <f>_xlfn.XLOOKUP(questoes!$L118,Tabela2[LETRA],Tabela2[IND],"",0)</f>
        <v>3</v>
      </c>
      <c r="N118" s="37">
        <v>3</v>
      </c>
      <c r="O118" s="37" t="s">
        <v>765</v>
      </c>
      <c r="P118" s="37" t="s">
        <v>684</v>
      </c>
      <c r="Q118" s="37">
        <v>63</v>
      </c>
    </row>
    <row r="119" spans="1:17" s="5" customFormat="1" ht="105" x14ac:dyDescent="0.25">
      <c r="A119" s="38" t="s">
        <v>558</v>
      </c>
      <c r="B119" s="39" t="s">
        <v>14</v>
      </c>
      <c r="C119" s="40" t="s">
        <v>667</v>
      </c>
      <c r="D119" s="40" t="s">
        <v>668</v>
      </c>
      <c r="E119" s="40" t="s">
        <v>383</v>
      </c>
      <c r="F119" s="40" t="s">
        <v>766</v>
      </c>
      <c r="G119" s="40" t="s">
        <v>767</v>
      </c>
      <c r="H119" s="40" t="s">
        <v>768</v>
      </c>
      <c r="I119" s="40" t="s">
        <v>769</v>
      </c>
      <c r="J119" s="40" t="s">
        <v>770</v>
      </c>
      <c r="K119" s="40" t="s">
        <v>771</v>
      </c>
      <c r="L119" s="40" t="s">
        <v>7</v>
      </c>
      <c r="M119" s="39">
        <f>_xlfn.XLOOKUP(questoes!$L119,Tabela2[LETRA],Tabela2[IND],"",0)</f>
        <v>3</v>
      </c>
      <c r="N119" s="40">
        <v>3</v>
      </c>
      <c r="O119" s="40" t="s">
        <v>772</v>
      </c>
      <c r="P119" s="40" t="s">
        <v>773</v>
      </c>
      <c r="Q119" s="40">
        <v>60</v>
      </c>
    </row>
    <row r="120" spans="1:17" s="5" customFormat="1" ht="105" x14ac:dyDescent="0.25">
      <c r="A120" s="35" t="s">
        <v>559</v>
      </c>
      <c r="B120" s="36" t="s">
        <v>14</v>
      </c>
      <c r="C120" s="37" t="s">
        <v>667</v>
      </c>
      <c r="D120" s="37" t="s">
        <v>668</v>
      </c>
      <c r="E120" s="37" t="s">
        <v>383</v>
      </c>
      <c r="F120" s="37" t="s">
        <v>774</v>
      </c>
      <c r="G120" s="37" t="s">
        <v>775</v>
      </c>
      <c r="H120" s="37" t="s">
        <v>776</v>
      </c>
      <c r="I120" s="37" t="s">
        <v>767</v>
      </c>
      <c r="J120" s="37" t="s">
        <v>777</v>
      </c>
      <c r="K120" s="37" t="s">
        <v>778</v>
      </c>
      <c r="L120" s="37" t="s">
        <v>6</v>
      </c>
      <c r="M120" s="36">
        <f>_xlfn.XLOOKUP(questoes!$L120,Tabela2[LETRA],Tabela2[IND],"",0)</f>
        <v>2</v>
      </c>
      <c r="N120" s="37">
        <v>2</v>
      </c>
      <c r="O120" s="37" t="s">
        <v>779</v>
      </c>
      <c r="P120" s="37" t="s">
        <v>773</v>
      </c>
      <c r="Q120" s="37">
        <v>60</v>
      </c>
    </row>
    <row r="121" spans="1:17" s="5" customFormat="1" ht="105" x14ac:dyDescent="0.25">
      <c r="A121" s="38" t="s">
        <v>560</v>
      </c>
      <c r="B121" s="39" t="s">
        <v>14</v>
      </c>
      <c r="C121" s="40" t="s">
        <v>667</v>
      </c>
      <c r="D121" s="40" t="s">
        <v>668</v>
      </c>
      <c r="E121" s="40" t="s">
        <v>383</v>
      </c>
      <c r="F121" s="40" t="s">
        <v>780</v>
      </c>
      <c r="G121" s="40" t="s">
        <v>781</v>
      </c>
      <c r="H121" s="40" t="s">
        <v>782</v>
      </c>
      <c r="I121" s="40" t="s">
        <v>783</v>
      </c>
      <c r="J121" s="40" t="s">
        <v>784</v>
      </c>
      <c r="K121" s="40" t="s">
        <v>785</v>
      </c>
      <c r="L121" s="40" t="s">
        <v>5</v>
      </c>
      <c r="M121" s="39">
        <f>_xlfn.XLOOKUP(questoes!$L121,Tabela2[LETRA],Tabela2[IND],"",0)</f>
        <v>1</v>
      </c>
      <c r="N121" s="40">
        <v>1</v>
      </c>
      <c r="O121" s="40" t="s">
        <v>786</v>
      </c>
      <c r="P121" s="40" t="s">
        <v>773</v>
      </c>
      <c r="Q121" s="40">
        <v>60</v>
      </c>
    </row>
    <row r="122" spans="1:17" s="5" customFormat="1" ht="135" x14ac:dyDescent="0.25">
      <c r="A122" s="35" t="s">
        <v>561</v>
      </c>
      <c r="B122" s="36" t="s">
        <v>14</v>
      </c>
      <c r="C122" s="37" t="s">
        <v>667</v>
      </c>
      <c r="D122" s="37" t="s">
        <v>668</v>
      </c>
      <c r="E122" s="37" t="s">
        <v>383</v>
      </c>
      <c r="F122" s="37" t="s">
        <v>787</v>
      </c>
      <c r="G122" s="37" t="s">
        <v>788</v>
      </c>
      <c r="H122" s="37" t="s">
        <v>789</v>
      </c>
      <c r="I122" s="37" t="s">
        <v>790</v>
      </c>
      <c r="J122" s="37" t="s">
        <v>791</v>
      </c>
      <c r="K122" s="37" t="s">
        <v>792</v>
      </c>
      <c r="L122" s="37" t="s">
        <v>4</v>
      </c>
      <c r="M122" s="36">
        <f>_xlfn.XLOOKUP(questoes!$L122,Tabela2[LETRA],Tabela2[IND],"",0)</f>
        <v>0</v>
      </c>
      <c r="N122" s="37">
        <v>0</v>
      </c>
      <c r="O122" s="37" t="s">
        <v>793</v>
      </c>
      <c r="P122" s="37" t="s">
        <v>773</v>
      </c>
      <c r="Q122" s="37">
        <v>60</v>
      </c>
    </row>
    <row r="123" spans="1:17" s="5" customFormat="1" ht="135" x14ac:dyDescent="0.25">
      <c r="A123" s="38" t="s">
        <v>562</v>
      </c>
      <c r="B123" s="39" t="s">
        <v>14</v>
      </c>
      <c r="C123" s="40" t="s">
        <v>667</v>
      </c>
      <c r="D123" s="40" t="s">
        <v>668</v>
      </c>
      <c r="E123" s="40" t="s">
        <v>383</v>
      </c>
      <c r="F123" s="40" t="s">
        <v>794</v>
      </c>
      <c r="G123" s="40" t="s">
        <v>795</v>
      </c>
      <c r="H123" s="40" t="s">
        <v>796</v>
      </c>
      <c r="I123" s="40" t="s">
        <v>797</v>
      </c>
      <c r="J123" s="40" t="s">
        <v>798</v>
      </c>
      <c r="K123" s="40" t="s">
        <v>799</v>
      </c>
      <c r="L123" s="40" t="s">
        <v>6</v>
      </c>
      <c r="M123" s="39">
        <f>_xlfn.XLOOKUP(questoes!$L123,Tabela2[LETRA],Tabela2[IND],"",0)</f>
        <v>2</v>
      </c>
      <c r="N123" s="40">
        <v>2</v>
      </c>
      <c r="O123" s="40" t="s">
        <v>800</v>
      </c>
      <c r="P123" s="40" t="s">
        <v>801</v>
      </c>
      <c r="Q123" s="40">
        <v>69</v>
      </c>
    </row>
    <row r="124" spans="1:17" s="5" customFormat="1" ht="105" x14ac:dyDescent="0.25">
      <c r="A124" s="35" t="s">
        <v>563</v>
      </c>
      <c r="B124" s="36" t="s">
        <v>14</v>
      </c>
      <c r="C124" s="37" t="s">
        <v>667</v>
      </c>
      <c r="D124" s="37" t="s">
        <v>668</v>
      </c>
      <c r="E124" s="37" t="s">
        <v>383</v>
      </c>
      <c r="F124" s="37" t="s">
        <v>802</v>
      </c>
      <c r="G124" s="37" t="s">
        <v>803</v>
      </c>
      <c r="H124" s="37" t="s">
        <v>804</v>
      </c>
      <c r="I124" s="37" t="s">
        <v>805</v>
      </c>
      <c r="J124" s="37" t="s">
        <v>806</v>
      </c>
      <c r="K124" s="37" t="s">
        <v>807</v>
      </c>
      <c r="L124" s="37" t="s">
        <v>7</v>
      </c>
      <c r="M124" s="36">
        <f>_xlfn.XLOOKUP(questoes!$L124,Tabela2[LETRA],Tabela2[IND],"",0)</f>
        <v>3</v>
      </c>
      <c r="N124" s="37">
        <v>3</v>
      </c>
      <c r="O124" s="37" t="s">
        <v>808</v>
      </c>
      <c r="P124" s="37" t="s">
        <v>801</v>
      </c>
      <c r="Q124" s="37">
        <v>69</v>
      </c>
    </row>
    <row r="125" spans="1:17" s="5" customFormat="1" ht="150" x14ac:dyDescent="0.25">
      <c r="A125" s="38" t="s">
        <v>564</v>
      </c>
      <c r="B125" s="39" t="s">
        <v>14</v>
      </c>
      <c r="C125" s="40" t="s">
        <v>667</v>
      </c>
      <c r="D125" s="40" t="s">
        <v>668</v>
      </c>
      <c r="E125" s="40" t="s">
        <v>383</v>
      </c>
      <c r="F125" s="40" t="s">
        <v>701</v>
      </c>
      <c r="G125" s="40" t="s">
        <v>809</v>
      </c>
      <c r="H125" s="40" t="s">
        <v>810</v>
      </c>
      <c r="I125" s="40" t="s">
        <v>704</v>
      </c>
      <c r="J125" s="40" t="s">
        <v>811</v>
      </c>
      <c r="K125" s="40" t="s">
        <v>705</v>
      </c>
      <c r="L125" s="40" t="s">
        <v>6</v>
      </c>
      <c r="M125" s="39">
        <f>_xlfn.XLOOKUP(questoes!$L125,Tabela2[LETRA],Tabela2[IND],"",0)</f>
        <v>2</v>
      </c>
      <c r="N125" s="40">
        <v>2</v>
      </c>
      <c r="O125" s="40" t="s">
        <v>812</v>
      </c>
      <c r="P125" s="40" t="s">
        <v>708</v>
      </c>
      <c r="Q125" s="40">
        <v>68</v>
      </c>
    </row>
    <row r="126" spans="1:17" s="5" customFormat="1" ht="105" x14ac:dyDescent="0.25">
      <c r="A126" s="35" t="s">
        <v>827</v>
      </c>
      <c r="B126" s="36" t="s">
        <v>14</v>
      </c>
      <c r="C126" s="37" t="s">
        <v>667</v>
      </c>
      <c r="D126" s="37" t="s">
        <v>668</v>
      </c>
      <c r="E126" s="37" t="s">
        <v>383</v>
      </c>
      <c r="F126" s="37" t="s">
        <v>813</v>
      </c>
      <c r="G126" s="37" t="s">
        <v>814</v>
      </c>
      <c r="H126" s="37" t="s">
        <v>815</v>
      </c>
      <c r="I126" s="37" t="s">
        <v>816</v>
      </c>
      <c r="J126" s="37" t="s">
        <v>817</v>
      </c>
      <c r="K126" s="37" t="s">
        <v>818</v>
      </c>
      <c r="L126" s="37" t="s">
        <v>6</v>
      </c>
      <c r="M126" s="36">
        <f>_xlfn.XLOOKUP(questoes!$L126,Tabela2[LETRA],Tabela2[IND],"",0)</f>
        <v>2</v>
      </c>
      <c r="N126" s="37">
        <v>2</v>
      </c>
      <c r="O126" s="37" t="s">
        <v>819</v>
      </c>
      <c r="P126" s="37" t="s">
        <v>801</v>
      </c>
      <c r="Q126" s="37">
        <v>69</v>
      </c>
    </row>
    <row r="127" spans="1:17" s="5" customFormat="1" ht="180" x14ac:dyDescent="0.25">
      <c r="A127" s="38" t="s">
        <v>828</v>
      </c>
      <c r="B127" s="39" t="s">
        <v>14</v>
      </c>
      <c r="C127" s="40" t="s">
        <v>667</v>
      </c>
      <c r="D127" s="40" t="s">
        <v>668</v>
      </c>
      <c r="E127" s="40" t="s">
        <v>383</v>
      </c>
      <c r="F127" s="40" t="s">
        <v>820</v>
      </c>
      <c r="G127" s="40" t="s">
        <v>821</v>
      </c>
      <c r="H127" s="40" t="s">
        <v>822</v>
      </c>
      <c r="I127" s="40" t="s">
        <v>823</v>
      </c>
      <c r="J127" s="40" t="s">
        <v>824</v>
      </c>
      <c r="K127" s="40" t="s">
        <v>825</v>
      </c>
      <c r="L127" s="40" t="s">
        <v>6</v>
      </c>
      <c r="M127" s="39">
        <f>_xlfn.XLOOKUP(questoes!$L127,Tabela2[LETRA],Tabela2[IND],"",0)</f>
        <v>2</v>
      </c>
      <c r="N127" s="40">
        <v>2</v>
      </c>
      <c r="O127" s="40" t="s">
        <v>826</v>
      </c>
      <c r="P127" s="40" t="s">
        <v>801</v>
      </c>
      <c r="Q127" s="40">
        <v>69</v>
      </c>
    </row>
    <row r="128" spans="1:17" s="5" customFormat="1" ht="165" x14ac:dyDescent="0.25">
      <c r="A128" s="13" t="s">
        <v>566</v>
      </c>
      <c r="B128" s="14" t="s">
        <v>14</v>
      </c>
      <c r="C128" s="15" t="s">
        <v>829</v>
      </c>
      <c r="D128" s="15" t="s">
        <v>830</v>
      </c>
      <c r="E128" s="15" t="s">
        <v>383</v>
      </c>
      <c r="F128" s="15" t="s">
        <v>831</v>
      </c>
      <c r="G128" s="15" t="s">
        <v>832</v>
      </c>
      <c r="H128" s="15" t="s">
        <v>833</v>
      </c>
      <c r="I128" s="15" t="s">
        <v>834</v>
      </c>
      <c r="J128" s="15" t="s">
        <v>835</v>
      </c>
      <c r="K128" s="15" t="s">
        <v>836</v>
      </c>
      <c r="L128" s="15" t="s">
        <v>6</v>
      </c>
      <c r="M128" s="14">
        <f>_xlfn.XLOOKUP(questoes!$L128,Tabela2[LETRA],Tabela2[IND],"",0)</f>
        <v>2</v>
      </c>
      <c r="N128" s="15">
        <v>2</v>
      </c>
      <c r="O128" s="15" t="s">
        <v>837</v>
      </c>
      <c r="P128" s="15" t="s">
        <v>838</v>
      </c>
      <c r="Q128" s="15">
        <v>81</v>
      </c>
    </row>
    <row r="129" spans="1:17" s="12" customFormat="1" ht="165" x14ac:dyDescent="0.25">
      <c r="A129" s="17" t="s">
        <v>567</v>
      </c>
      <c r="B129" s="18" t="s">
        <v>14</v>
      </c>
      <c r="C129" s="19" t="s">
        <v>829</v>
      </c>
      <c r="D129" s="19" t="s">
        <v>830</v>
      </c>
      <c r="E129" s="19" t="s">
        <v>383</v>
      </c>
      <c r="F129" s="19" t="s">
        <v>841</v>
      </c>
      <c r="G129" s="19" t="s">
        <v>842</v>
      </c>
      <c r="H129" s="19" t="s">
        <v>303</v>
      </c>
      <c r="I129" s="19" t="s">
        <v>304</v>
      </c>
      <c r="J129" s="19" t="s">
        <v>302</v>
      </c>
      <c r="K129" s="19" t="s">
        <v>843</v>
      </c>
      <c r="L129" s="19" t="s">
        <v>6</v>
      </c>
      <c r="M129" s="20">
        <f>_xlfn.XLOOKUP(questoes!$L129,Tabela2[LETRA],Tabela2[IND],"",0)</f>
        <v>2</v>
      </c>
      <c r="N129" s="19">
        <v>2</v>
      </c>
      <c r="O129" s="19" t="s">
        <v>844</v>
      </c>
      <c r="P129" s="19" t="s">
        <v>845</v>
      </c>
      <c r="Q129" s="19">
        <v>80</v>
      </c>
    </row>
    <row r="130" spans="1:17" s="12" customFormat="1" ht="165" x14ac:dyDescent="0.25">
      <c r="A130" s="13" t="s">
        <v>568</v>
      </c>
      <c r="B130" s="14" t="s">
        <v>14</v>
      </c>
      <c r="C130" s="15" t="s">
        <v>829</v>
      </c>
      <c r="D130" s="15" t="s">
        <v>830</v>
      </c>
      <c r="E130" s="15" t="s">
        <v>383</v>
      </c>
      <c r="F130" s="15" t="s">
        <v>846</v>
      </c>
      <c r="G130" s="15" t="s">
        <v>847</v>
      </c>
      <c r="H130" s="15" t="s">
        <v>848</v>
      </c>
      <c r="I130" s="15" t="s">
        <v>849</v>
      </c>
      <c r="J130" s="15" t="s">
        <v>850</v>
      </c>
      <c r="K130" s="15" t="s">
        <v>851</v>
      </c>
      <c r="L130" s="15" t="s">
        <v>6</v>
      </c>
      <c r="M130" s="14">
        <f>_xlfn.XLOOKUP(questoes!$L130,Tabela2[LETRA],Tabela2[IND],"",0)</f>
        <v>2</v>
      </c>
      <c r="N130" s="15">
        <v>2</v>
      </c>
      <c r="O130" s="15" t="s">
        <v>852</v>
      </c>
      <c r="P130" s="15" t="s">
        <v>845</v>
      </c>
      <c r="Q130" s="15">
        <v>80</v>
      </c>
    </row>
    <row r="131" spans="1:17" s="12" customFormat="1" ht="165" x14ac:dyDescent="0.25">
      <c r="A131" s="17" t="s">
        <v>569</v>
      </c>
      <c r="B131" s="18" t="s">
        <v>14</v>
      </c>
      <c r="C131" s="19" t="s">
        <v>829</v>
      </c>
      <c r="D131" s="19" t="s">
        <v>830</v>
      </c>
      <c r="E131" s="19" t="s">
        <v>383</v>
      </c>
      <c r="F131" s="19" t="s">
        <v>853</v>
      </c>
      <c r="G131" s="19" t="s">
        <v>834</v>
      </c>
      <c r="H131" s="19" t="s">
        <v>833</v>
      </c>
      <c r="I131" s="19" t="s">
        <v>832</v>
      </c>
      <c r="J131" s="19" t="s">
        <v>854</v>
      </c>
      <c r="K131" s="19" t="s">
        <v>855</v>
      </c>
      <c r="L131" s="19" t="s">
        <v>6</v>
      </c>
      <c r="M131" s="20">
        <f>_xlfn.XLOOKUP(questoes!$L131,Tabela2[LETRA],Tabela2[IND],"",0)</f>
        <v>2</v>
      </c>
      <c r="N131" s="19">
        <v>2</v>
      </c>
      <c r="O131" s="19" t="s">
        <v>856</v>
      </c>
      <c r="P131" s="19" t="s">
        <v>840</v>
      </c>
      <c r="Q131" s="19">
        <v>82</v>
      </c>
    </row>
    <row r="132" spans="1:17" s="12" customFormat="1" ht="135" x14ac:dyDescent="0.25">
      <c r="A132" s="13" t="s">
        <v>570</v>
      </c>
      <c r="B132" s="14" t="s">
        <v>14</v>
      </c>
      <c r="C132" s="15" t="s">
        <v>829</v>
      </c>
      <c r="D132" s="15" t="s">
        <v>830</v>
      </c>
      <c r="E132" s="15" t="s">
        <v>383</v>
      </c>
      <c r="F132" s="15" t="s">
        <v>857</v>
      </c>
      <c r="G132" s="15" t="s">
        <v>858</v>
      </c>
      <c r="H132" s="15" t="s">
        <v>859</v>
      </c>
      <c r="I132" s="15" t="s">
        <v>860</v>
      </c>
      <c r="J132" s="15" t="s">
        <v>861</v>
      </c>
      <c r="K132" s="15" t="s">
        <v>862</v>
      </c>
      <c r="L132" s="15" t="s">
        <v>6</v>
      </c>
      <c r="M132" s="14">
        <f>_xlfn.XLOOKUP(questoes!$L132,Tabela2[LETRA],Tabela2[IND],"",0)</f>
        <v>2</v>
      </c>
      <c r="N132" s="15">
        <v>2</v>
      </c>
      <c r="O132" s="15" t="s">
        <v>863</v>
      </c>
      <c r="P132" s="15" t="s">
        <v>864</v>
      </c>
      <c r="Q132" s="15">
        <v>83</v>
      </c>
    </row>
    <row r="133" spans="1:17" ht="135" x14ac:dyDescent="0.25">
      <c r="A133" s="17" t="s">
        <v>571</v>
      </c>
      <c r="B133" s="18" t="s">
        <v>14</v>
      </c>
      <c r="C133" s="19" t="s">
        <v>829</v>
      </c>
      <c r="D133" s="19" t="s">
        <v>830</v>
      </c>
      <c r="E133" s="19" t="s">
        <v>383</v>
      </c>
      <c r="F133" s="19" t="s">
        <v>865</v>
      </c>
      <c r="G133" s="19" t="s">
        <v>858</v>
      </c>
      <c r="H133" s="19" t="s">
        <v>860</v>
      </c>
      <c r="I133" s="19" t="s">
        <v>859</v>
      </c>
      <c r="J133" s="19" t="s">
        <v>861</v>
      </c>
      <c r="K133" s="19" t="s">
        <v>862</v>
      </c>
      <c r="L133" s="19" t="s">
        <v>6</v>
      </c>
      <c r="M133" s="20">
        <f>_xlfn.XLOOKUP(questoes!$L133,Tabela2[LETRA],Tabela2[IND],"",0)</f>
        <v>2</v>
      </c>
      <c r="N133" s="19">
        <v>2</v>
      </c>
      <c r="O133" s="19" t="s">
        <v>866</v>
      </c>
      <c r="P133" s="19" t="s">
        <v>864</v>
      </c>
      <c r="Q133" s="19">
        <v>83</v>
      </c>
    </row>
    <row r="134" spans="1:17" ht="135" x14ac:dyDescent="0.25">
      <c r="A134" s="13" t="s">
        <v>572</v>
      </c>
      <c r="B134" s="14" t="s">
        <v>14</v>
      </c>
      <c r="C134" s="15" t="s">
        <v>829</v>
      </c>
      <c r="D134" s="15" t="s">
        <v>830</v>
      </c>
      <c r="E134" s="15" t="s">
        <v>383</v>
      </c>
      <c r="F134" s="15" t="s">
        <v>867</v>
      </c>
      <c r="G134" s="15" t="s">
        <v>868</v>
      </c>
      <c r="H134" s="15" t="s">
        <v>869</v>
      </c>
      <c r="I134" s="15" t="s">
        <v>870</v>
      </c>
      <c r="J134" s="15" t="s">
        <v>871</v>
      </c>
      <c r="K134" s="15" t="s">
        <v>872</v>
      </c>
      <c r="L134" s="15" t="s">
        <v>6</v>
      </c>
      <c r="M134" s="14">
        <f>_xlfn.XLOOKUP(questoes!$L134,Tabela2[LETRA],Tabela2[IND],"",0)</f>
        <v>2</v>
      </c>
      <c r="N134" s="15">
        <v>2</v>
      </c>
      <c r="O134" s="15" t="s">
        <v>873</v>
      </c>
      <c r="P134" s="15" t="s">
        <v>864</v>
      </c>
      <c r="Q134" s="15">
        <v>83</v>
      </c>
    </row>
    <row r="135" spans="1:17" ht="135" x14ac:dyDescent="0.25">
      <c r="A135" s="17" t="s">
        <v>573</v>
      </c>
      <c r="B135" s="18" t="s">
        <v>14</v>
      </c>
      <c r="C135" s="19" t="s">
        <v>829</v>
      </c>
      <c r="D135" s="19" t="s">
        <v>830</v>
      </c>
      <c r="E135" s="19" t="s">
        <v>383</v>
      </c>
      <c r="F135" s="19" t="s">
        <v>874</v>
      </c>
      <c r="G135" s="19" t="s">
        <v>875</v>
      </c>
      <c r="H135" s="19" t="s">
        <v>876</v>
      </c>
      <c r="I135" s="19" t="s">
        <v>877</v>
      </c>
      <c r="J135" s="19" t="s">
        <v>878</v>
      </c>
      <c r="K135" s="19" t="s">
        <v>879</v>
      </c>
      <c r="L135" s="19" t="s">
        <v>5</v>
      </c>
      <c r="M135" s="20">
        <f>_xlfn.XLOOKUP(questoes!$L135,Tabela2[LETRA],Tabela2[IND],"",0)</f>
        <v>1</v>
      </c>
      <c r="N135" s="19">
        <v>1</v>
      </c>
      <c r="O135" s="19" t="s">
        <v>884</v>
      </c>
      <c r="P135" s="19" t="s">
        <v>880</v>
      </c>
      <c r="Q135" s="19">
        <v>82</v>
      </c>
    </row>
    <row r="136" spans="1:17" ht="135" x14ac:dyDescent="0.25">
      <c r="A136" s="13" t="s">
        <v>574</v>
      </c>
      <c r="B136" s="14" t="s">
        <v>14</v>
      </c>
      <c r="C136" s="15" t="s">
        <v>829</v>
      </c>
      <c r="D136" s="15" t="s">
        <v>830</v>
      </c>
      <c r="E136" s="15" t="s">
        <v>383</v>
      </c>
      <c r="F136" s="15" t="s">
        <v>881</v>
      </c>
      <c r="G136" s="15" t="s">
        <v>860</v>
      </c>
      <c r="H136" s="15" t="s">
        <v>859</v>
      </c>
      <c r="I136" s="15" t="s">
        <v>858</v>
      </c>
      <c r="J136" s="15" t="s">
        <v>861</v>
      </c>
      <c r="K136" s="15" t="s">
        <v>882</v>
      </c>
      <c r="L136" s="15" t="s">
        <v>6</v>
      </c>
      <c r="M136" s="14">
        <f>_xlfn.XLOOKUP(questoes!$L136,Tabela2[LETRA],Tabela2[IND],"",0)</f>
        <v>2</v>
      </c>
      <c r="N136" s="15">
        <v>2</v>
      </c>
      <c r="O136" s="15" t="s">
        <v>883</v>
      </c>
      <c r="P136" s="15" t="s">
        <v>864</v>
      </c>
      <c r="Q136" s="15">
        <v>83</v>
      </c>
    </row>
    <row r="137" spans="1:17" ht="165" x14ac:dyDescent="0.25">
      <c r="A137" s="17" t="s">
        <v>575</v>
      </c>
      <c r="B137" s="18" t="s">
        <v>14</v>
      </c>
      <c r="C137" s="19" t="s">
        <v>829</v>
      </c>
      <c r="D137" s="19" t="s">
        <v>885</v>
      </c>
      <c r="E137" s="19" t="s">
        <v>383</v>
      </c>
      <c r="F137" s="19" t="s">
        <v>886</v>
      </c>
      <c r="G137" s="19" t="s">
        <v>834</v>
      </c>
      <c r="H137" s="19" t="s">
        <v>833</v>
      </c>
      <c r="I137" s="19" t="s">
        <v>832</v>
      </c>
      <c r="J137" s="19" t="s">
        <v>887</v>
      </c>
      <c r="K137" s="19" t="s">
        <v>888</v>
      </c>
      <c r="L137" s="19" t="s">
        <v>5</v>
      </c>
      <c r="M137" s="20">
        <f>_xlfn.XLOOKUP(questoes!$L137,Tabela2[LETRA],Tabela2[IND],"",0)</f>
        <v>1</v>
      </c>
      <c r="N137" s="19">
        <v>1</v>
      </c>
      <c r="O137" s="19" t="s">
        <v>889</v>
      </c>
      <c r="P137" s="19" t="s">
        <v>838</v>
      </c>
      <c r="Q137" s="19">
        <v>81</v>
      </c>
    </row>
    <row r="138" spans="1:17" ht="165" x14ac:dyDescent="0.25">
      <c r="A138" s="13" t="s">
        <v>576</v>
      </c>
      <c r="B138" s="14" t="s">
        <v>14</v>
      </c>
      <c r="C138" s="15" t="s">
        <v>829</v>
      </c>
      <c r="D138" s="15" t="s">
        <v>885</v>
      </c>
      <c r="E138" s="15" t="s">
        <v>383</v>
      </c>
      <c r="F138" s="15" t="s">
        <v>890</v>
      </c>
      <c r="G138" s="15" t="s">
        <v>891</v>
      </c>
      <c r="H138" s="15" t="s">
        <v>892</v>
      </c>
      <c r="I138" s="15" t="s">
        <v>893</v>
      </c>
      <c r="J138" s="15" t="s">
        <v>894</v>
      </c>
      <c r="K138" s="15" t="s">
        <v>895</v>
      </c>
      <c r="L138" s="15" t="s">
        <v>7</v>
      </c>
      <c r="M138" s="14">
        <f>_xlfn.XLOOKUP(questoes!$L138,Tabela2[LETRA],Tabela2[IND],"",0)</f>
        <v>3</v>
      </c>
      <c r="N138" s="15">
        <v>3</v>
      </c>
      <c r="O138" s="15" t="s">
        <v>896</v>
      </c>
      <c r="P138" s="15" t="s">
        <v>840</v>
      </c>
      <c r="Q138" s="15">
        <v>82</v>
      </c>
    </row>
    <row r="139" spans="1:17" ht="165" x14ac:dyDescent="0.25">
      <c r="A139" s="17" t="s">
        <v>577</v>
      </c>
      <c r="B139" s="18" t="s">
        <v>14</v>
      </c>
      <c r="C139" s="19" t="s">
        <v>829</v>
      </c>
      <c r="D139" s="19" t="s">
        <v>885</v>
      </c>
      <c r="E139" s="19" t="s">
        <v>383</v>
      </c>
      <c r="F139" s="19" t="s">
        <v>897</v>
      </c>
      <c r="G139" s="19" t="s">
        <v>833</v>
      </c>
      <c r="H139" s="19" t="s">
        <v>832</v>
      </c>
      <c r="I139" s="19" t="s">
        <v>834</v>
      </c>
      <c r="J139" s="19" t="s">
        <v>835</v>
      </c>
      <c r="K139" s="19" t="s">
        <v>836</v>
      </c>
      <c r="L139" s="19" t="s">
        <v>6</v>
      </c>
      <c r="M139" s="20">
        <f>_xlfn.XLOOKUP(questoes!$L139,Tabela2[LETRA],Tabela2[IND],"",0)</f>
        <v>2</v>
      </c>
      <c r="N139" s="19">
        <v>2</v>
      </c>
      <c r="O139" s="19" t="s">
        <v>898</v>
      </c>
      <c r="P139" s="19" t="s">
        <v>838</v>
      </c>
      <c r="Q139" s="19">
        <v>81</v>
      </c>
    </row>
    <row r="140" spans="1:17" ht="165" x14ac:dyDescent="0.25">
      <c r="A140" s="13" t="s">
        <v>578</v>
      </c>
      <c r="B140" s="14" t="s">
        <v>14</v>
      </c>
      <c r="C140" s="15" t="s">
        <v>829</v>
      </c>
      <c r="D140" s="15" t="s">
        <v>885</v>
      </c>
      <c r="E140" s="15" t="s">
        <v>383</v>
      </c>
      <c r="F140" s="15" t="s">
        <v>899</v>
      </c>
      <c r="G140" s="15" t="s">
        <v>839</v>
      </c>
      <c r="H140" s="15" t="s">
        <v>900</v>
      </c>
      <c r="I140" s="15" t="s">
        <v>901</v>
      </c>
      <c r="J140" s="15" t="s">
        <v>902</v>
      </c>
      <c r="K140" s="15" t="s">
        <v>903</v>
      </c>
      <c r="L140" s="15" t="s">
        <v>5</v>
      </c>
      <c r="M140" s="14">
        <f>_xlfn.XLOOKUP(questoes!$L140,Tabela2[LETRA],Tabela2[IND],"",0)</f>
        <v>1</v>
      </c>
      <c r="N140" s="15">
        <v>1</v>
      </c>
      <c r="O140" s="15" t="s">
        <v>904</v>
      </c>
      <c r="P140" s="15" t="s">
        <v>838</v>
      </c>
      <c r="Q140" s="15">
        <v>81</v>
      </c>
    </row>
    <row r="141" spans="1:17" ht="165" x14ac:dyDescent="0.25">
      <c r="A141" s="17" t="s">
        <v>579</v>
      </c>
      <c r="B141" s="18" t="s">
        <v>14</v>
      </c>
      <c r="C141" s="19" t="s">
        <v>829</v>
      </c>
      <c r="D141" s="19" t="s">
        <v>885</v>
      </c>
      <c r="E141" s="19" t="s">
        <v>383</v>
      </c>
      <c r="F141" s="19" t="s">
        <v>905</v>
      </c>
      <c r="G141" s="19" t="s">
        <v>832</v>
      </c>
      <c r="H141" s="19" t="s">
        <v>834</v>
      </c>
      <c r="I141" s="19" t="s">
        <v>833</v>
      </c>
      <c r="J141" s="19" t="s">
        <v>906</v>
      </c>
      <c r="K141" s="19" t="s">
        <v>907</v>
      </c>
      <c r="L141" s="19" t="s">
        <v>6</v>
      </c>
      <c r="M141" s="20">
        <f>_xlfn.XLOOKUP(questoes!$L141,Tabela2[LETRA],Tabela2[IND],"",0)</f>
        <v>2</v>
      </c>
      <c r="N141" s="19">
        <v>2</v>
      </c>
      <c r="O141" s="19" t="s">
        <v>908</v>
      </c>
      <c r="P141" s="19" t="s">
        <v>838</v>
      </c>
      <c r="Q141" s="19">
        <v>81</v>
      </c>
    </row>
    <row r="142" spans="1:17" ht="165" x14ac:dyDescent="0.25">
      <c r="A142" s="13" t="s">
        <v>580</v>
      </c>
      <c r="B142" s="14" t="s">
        <v>14</v>
      </c>
      <c r="C142" s="15" t="s">
        <v>829</v>
      </c>
      <c r="D142" s="15" t="s">
        <v>830</v>
      </c>
      <c r="E142" s="15" t="s">
        <v>383</v>
      </c>
      <c r="F142" s="15" t="s">
        <v>909</v>
      </c>
      <c r="G142" s="15" t="s">
        <v>910</v>
      </c>
      <c r="H142" s="15" t="s">
        <v>911</v>
      </c>
      <c r="I142" s="15" t="s">
        <v>912</v>
      </c>
      <c r="J142" s="15" t="s">
        <v>913</v>
      </c>
      <c r="K142" s="15" t="s">
        <v>914</v>
      </c>
      <c r="L142" s="15" t="s">
        <v>6</v>
      </c>
      <c r="M142" s="14">
        <f>_xlfn.XLOOKUP(questoes!$L142,Tabela2[LETRA],Tabela2[IND],"",0)</f>
        <v>2</v>
      </c>
      <c r="N142" s="15">
        <v>2</v>
      </c>
      <c r="O142" s="15" t="s">
        <v>915</v>
      </c>
      <c r="P142" s="15" t="s">
        <v>845</v>
      </c>
      <c r="Q142" s="15">
        <v>80</v>
      </c>
    </row>
    <row r="143" spans="1:17" ht="165" x14ac:dyDescent="0.25">
      <c r="A143" s="17" t="s">
        <v>581</v>
      </c>
      <c r="B143" s="18" t="s">
        <v>14</v>
      </c>
      <c r="C143" s="19" t="s">
        <v>829</v>
      </c>
      <c r="D143" s="19" t="s">
        <v>830</v>
      </c>
      <c r="E143" s="19" t="s">
        <v>383</v>
      </c>
      <c r="F143" s="19" t="s">
        <v>916</v>
      </c>
      <c r="G143" s="19" t="s">
        <v>917</v>
      </c>
      <c r="H143" s="19" t="s">
        <v>918</v>
      </c>
      <c r="I143" s="19" t="s">
        <v>919</v>
      </c>
      <c r="J143" s="19" t="s">
        <v>920</v>
      </c>
      <c r="K143" s="19" t="s">
        <v>921</v>
      </c>
      <c r="L143" s="19" t="s">
        <v>5</v>
      </c>
      <c r="M143" s="20">
        <f>_xlfn.XLOOKUP(questoes!$L143,Tabela2[LETRA],Tabela2[IND],"",0)</f>
        <v>1</v>
      </c>
      <c r="N143" s="19">
        <v>1</v>
      </c>
      <c r="O143" s="19" t="s">
        <v>922</v>
      </c>
      <c r="P143" s="19" t="s">
        <v>845</v>
      </c>
      <c r="Q143" s="19">
        <v>80</v>
      </c>
    </row>
    <row r="144" spans="1:17" ht="165" x14ac:dyDescent="0.25">
      <c r="A144" s="13" t="s">
        <v>582</v>
      </c>
      <c r="B144" s="14" t="s">
        <v>14</v>
      </c>
      <c r="C144" s="15" t="s">
        <v>829</v>
      </c>
      <c r="D144" s="15" t="s">
        <v>830</v>
      </c>
      <c r="E144" s="15" t="s">
        <v>383</v>
      </c>
      <c r="F144" s="15" t="s">
        <v>923</v>
      </c>
      <c r="G144" s="15" t="s">
        <v>914</v>
      </c>
      <c r="H144" s="15" t="s">
        <v>913</v>
      </c>
      <c r="I144" s="15" t="s">
        <v>912</v>
      </c>
      <c r="J144" s="15" t="s">
        <v>911</v>
      </c>
      <c r="K144" s="15" t="s">
        <v>910</v>
      </c>
      <c r="L144" s="15" t="s">
        <v>7</v>
      </c>
      <c r="M144" s="14">
        <f>_xlfn.XLOOKUP(questoes!$L144,Tabela2[LETRA],Tabela2[IND],"",0)</f>
        <v>3</v>
      </c>
      <c r="N144" s="15">
        <v>3</v>
      </c>
      <c r="O144" s="15" t="s">
        <v>924</v>
      </c>
      <c r="P144" s="15" t="s">
        <v>845</v>
      </c>
      <c r="Q144" s="15">
        <v>80</v>
      </c>
    </row>
    <row r="145" spans="1:17" ht="165" x14ac:dyDescent="0.25">
      <c r="A145" s="17" t="s">
        <v>583</v>
      </c>
      <c r="B145" s="18" t="s">
        <v>14</v>
      </c>
      <c r="C145" s="19" t="s">
        <v>829</v>
      </c>
      <c r="D145" s="19" t="s">
        <v>830</v>
      </c>
      <c r="E145" s="19" t="s">
        <v>383</v>
      </c>
      <c r="F145" s="19" t="s">
        <v>925</v>
      </c>
      <c r="G145" s="19" t="s">
        <v>926</v>
      </c>
      <c r="H145" s="19" t="s">
        <v>927</v>
      </c>
      <c r="I145" s="19" t="s">
        <v>928</v>
      </c>
      <c r="J145" s="19" t="s">
        <v>929</v>
      </c>
      <c r="K145" s="19" t="s">
        <v>930</v>
      </c>
      <c r="L145" s="19" t="s">
        <v>6</v>
      </c>
      <c r="M145" s="20">
        <f>_xlfn.XLOOKUP(questoes!$L145,Tabela2[LETRA],Tabela2[IND],"",0)</f>
        <v>2</v>
      </c>
      <c r="N145" s="19">
        <v>2</v>
      </c>
      <c r="O145" s="19" t="s">
        <v>931</v>
      </c>
      <c r="P145" s="19" t="s">
        <v>845</v>
      </c>
      <c r="Q145" s="19">
        <v>80</v>
      </c>
    </row>
    <row r="146" spans="1:17" ht="165" x14ac:dyDescent="0.25">
      <c r="A146" s="13" t="s">
        <v>565</v>
      </c>
      <c r="B146" s="14" t="s">
        <v>14</v>
      </c>
      <c r="C146" s="15" t="s">
        <v>829</v>
      </c>
      <c r="D146" s="15" t="s">
        <v>830</v>
      </c>
      <c r="E146" s="15" t="s">
        <v>383</v>
      </c>
      <c r="F146" s="15" t="s">
        <v>932</v>
      </c>
      <c r="G146" s="15" t="s">
        <v>933</v>
      </c>
      <c r="H146" s="15" t="s">
        <v>934</v>
      </c>
      <c r="I146" s="15" t="s">
        <v>935</v>
      </c>
      <c r="J146" s="15" t="s">
        <v>936</v>
      </c>
      <c r="K146" s="15" t="s">
        <v>937</v>
      </c>
      <c r="L146" s="15" t="s">
        <v>6</v>
      </c>
      <c r="M146" s="14">
        <f>_xlfn.XLOOKUP(questoes!$L146,Tabela2[LETRA],Tabela2[IND],"",0)</f>
        <v>2</v>
      </c>
      <c r="N146" s="15">
        <v>2</v>
      </c>
      <c r="O146" s="15" t="s">
        <v>938</v>
      </c>
      <c r="P146" s="15" t="s">
        <v>845</v>
      </c>
      <c r="Q146" s="15">
        <v>80</v>
      </c>
    </row>
  </sheetData>
  <phoneticPr fontId="2" type="noConversion"/>
  <pageMargins left="0.75" right="0.75" top="1" bottom="1" header="0.5" footer="0.5"/>
  <pageSetup paperSize="9" orientation="portrait" r:id="rId1"/>
  <ignoredErrors>
    <ignoredError sqref="M2" calculatedColumn="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3D0F-B1AE-469D-B112-54D879AEA48C}">
  <dimension ref="A1:B6"/>
  <sheetViews>
    <sheetView workbookViewId="0">
      <selection activeCell="D11" sqref="D11"/>
    </sheetView>
  </sheetViews>
  <sheetFormatPr defaultRowHeight="15" x14ac:dyDescent="0.25"/>
  <cols>
    <col min="1" max="2" width="10.28515625" customWidth="1"/>
  </cols>
  <sheetData>
    <row r="1" spans="1:2" x14ac:dyDescent="0.25">
      <c r="A1" s="1" t="s">
        <v>314</v>
      </c>
      <c r="B1" s="2" t="s">
        <v>315</v>
      </c>
    </row>
    <row r="2" spans="1:2" x14ac:dyDescent="0.25">
      <c r="A2" s="1" t="s">
        <v>4</v>
      </c>
      <c r="B2" s="2">
        <v>0</v>
      </c>
    </row>
    <row r="3" spans="1:2" x14ac:dyDescent="0.25">
      <c r="A3" s="1" t="s">
        <v>5</v>
      </c>
      <c r="B3" s="2">
        <v>1</v>
      </c>
    </row>
    <row r="4" spans="1:2" x14ac:dyDescent="0.25">
      <c r="A4" s="1" t="s">
        <v>6</v>
      </c>
      <c r="B4" s="2">
        <v>2</v>
      </c>
    </row>
    <row r="5" spans="1:2" x14ac:dyDescent="0.25">
      <c r="A5" s="1" t="s">
        <v>7</v>
      </c>
      <c r="B5" s="2">
        <v>3</v>
      </c>
    </row>
    <row r="6" spans="1:2" x14ac:dyDescent="0.25">
      <c r="A6" s="1" t="s">
        <v>8</v>
      </c>
      <c r="B6" s="2">
        <v>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questoes</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Reginaldo Vantini</cp:lastModifiedBy>
  <dcterms:created xsi:type="dcterms:W3CDTF">2026-05-10T20:52:39Z</dcterms:created>
  <dcterms:modified xsi:type="dcterms:W3CDTF">2026-06-19T20:30:45Z</dcterms:modified>
</cp:coreProperties>
</file>