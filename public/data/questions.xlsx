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1cf5db36aef5a28/Documentos/SENAR/gamificacao-senar/public/data/"/>
    </mc:Choice>
  </mc:AlternateContent>
  <xr:revisionPtr revIDLastSave="219" documentId="13_ncr:1_{5C08037E-F4B4-4617-85CB-0A3D42525B82}" xr6:coauthVersionLast="47" xr6:coauthVersionMax="47" xr10:uidLastSave="{F688C8F1-DBAD-4CF9-ACA6-A2FDA7EBB39A}"/>
  <bookViews>
    <workbookView xWindow="-120" yWindow="-120" windowWidth="24240" windowHeight="13140" xr2:uid="{00000000-000D-0000-FFFF-FFFF00000000}"/>
  </bookViews>
  <sheets>
    <sheet name="questoes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2" i="1"/>
</calcChain>
</file>

<file path=xl/sharedStrings.xml><?xml version="1.0" encoding="utf-8"?>
<sst xmlns="http://schemas.openxmlformats.org/spreadsheetml/2006/main" count="715" uniqueCount="388">
  <si>
    <t>ID</t>
  </si>
  <si>
    <t>DISCIPLINA</t>
  </si>
  <si>
    <t>TEMA</t>
  </si>
  <si>
    <t>ENUNCIADO</t>
  </si>
  <si>
    <t>A</t>
  </si>
  <si>
    <t>B</t>
  </si>
  <si>
    <t>C</t>
  </si>
  <si>
    <t>D</t>
  </si>
  <si>
    <t>E</t>
  </si>
  <si>
    <t>GABARITO</t>
  </si>
  <si>
    <t>FEEDBACK</t>
  </si>
  <si>
    <t>FONTE</t>
  </si>
  <si>
    <t>PAGINA</t>
  </si>
  <si>
    <t>ECO_T1_001</t>
  </si>
  <si>
    <t>Economia</t>
  </si>
  <si>
    <t>Tema 1</t>
  </si>
  <si>
    <t>Introdução à Economia</t>
  </si>
  <si>
    <t>Fácil</t>
  </si>
  <si>
    <t>Uma cooperativa agrícola busca melhorar a utilização de máquinas, trabalhadores e matéria-prima para aumentar a eficiência produtiva. Segundo a Economia, qual é o objetivo principal dessa ciência?</t>
  </si>
  <si>
    <t>Eliminar totalmente a escassez.</t>
  </si>
  <si>
    <t>Controlar apenas o comércio internacional.</t>
  </si>
  <si>
    <t>Melhorar a alocação dos recursos para produção de bens e serviços.</t>
  </si>
  <si>
    <t>Produzir somente bens industriais.</t>
  </si>
  <si>
    <t>Aumentar o consumo sem planejamento.</t>
  </si>
  <si>
    <t>10-11</t>
  </si>
  <si>
    <t>ECO_T1_002</t>
  </si>
  <si>
    <t>O termo “economia” possui origem grega e pode ser traduzido como:</t>
  </si>
  <si>
    <t>Administração do lar.</t>
  </si>
  <si>
    <t>Controle da moeda.</t>
  </si>
  <si>
    <t>Planejamento tributário.</t>
  </si>
  <si>
    <t>Organização industrial.</t>
  </si>
  <si>
    <t>Administração pública.</t>
  </si>
  <si>
    <t>ECO_T1_003</t>
  </si>
  <si>
    <t>Médio</t>
  </si>
  <si>
    <t>O principal problema estudado pela Economia está relacionado:</t>
  </si>
  <si>
    <t>Ao excesso de produtos.</t>
  </si>
  <si>
    <t>À escassez dos recursos produtivos.</t>
  </si>
  <si>
    <t>À ausência de consumidores.</t>
  </si>
  <si>
    <t>À falta de tecnologia.</t>
  </si>
  <si>
    <t>Ao crescimento industrial.</t>
  </si>
  <si>
    <t>ECO_T1_004</t>
  </si>
  <si>
    <t>Qual alternativa apresenta exemplos de necessidades humanas citadas na apostila?</t>
  </si>
  <si>
    <t>Máquinas, tratores e fertilizantes.</t>
  </si>
  <si>
    <t>Alimentação, moradia e lazer.</t>
  </si>
  <si>
    <t>PIB, inflação e exportação.</t>
  </si>
  <si>
    <t>Crédito, juros e impostos.</t>
  </si>
  <si>
    <t>Comércio exterior e câmbio.</t>
  </si>
  <si>
    <t>ECO_T1_005</t>
  </si>
  <si>
    <t>Quando uma empresa define quais produtos serão fabricados e em quais quantidades, ela está respondendo à pergunta econômica:</t>
  </si>
  <si>
    <t>Como produzir?</t>
  </si>
  <si>
    <t>Para quem produzir?</t>
  </si>
  <si>
    <t>O que produzir?</t>
  </si>
  <si>
    <t>Quando produzir?</t>
  </si>
  <si>
    <t>Quanto exportar?</t>
  </si>
  <si>
    <t>ECO_T1_006</t>
  </si>
  <si>
    <t>A escolha da tecnologia utilizada por uma indústria para fabricar seus produtos está relacionada à questão econômica:</t>
  </si>
  <si>
    <t>Quanto vender?</t>
  </si>
  <si>
    <t>Quem consumir?</t>
  </si>
  <si>
    <t>O que importar?</t>
  </si>
  <si>
    <t>ECO_T1_007</t>
  </si>
  <si>
    <t>A definição do público consumidor de determinado produto está relacionada à questão econômica:</t>
  </si>
  <si>
    <t>Quanto investir?</t>
  </si>
  <si>
    <t>O que exportar?</t>
  </si>
  <si>
    <t>ECO_T1_008</t>
  </si>
  <si>
    <t>O estudo do comportamento dos consumidores e empresas em diferentes situações de mercado pertence à:</t>
  </si>
  <si>
    <t>Macroeconomia.</t>
  </si>
  <si>
    <t>Economia internacional.</t>
  </si>
  <si>
    <t>Microeconomia.</t>
  </si>
  <si>
    <t>Economia financeira.</t>
  </si>
  <si>
    <t>Economia ambiental.</t>
  </si>
  <si>
    <t>ECO_T1_009</t>
  </si>
  <si>
    <t>O Produto Interno Bruto (PIB), o nível de emprego e o sistema monetário são estudados principalmente pela:</t>
  </si>
  <si>
    <t>Administração financeira.</t>
  </si>
  <si>
    <t>Economia rural.</t>
  </si>
  <si>
    <t>Contabilidade.</t>
  </si>
  <si>
    <t>ECO_T1_010</t>
  </si>
  <si>
    <t>Classificação de bens e serviços</t>
  </si>
  <si>
    <t>Bens econômicos são aqueles que:</t>
  </si>
  <si>
    <t>Possuem oferta ilimitada.</t>
  </si>
  <si>
    <t>Não exigem trabalho humano.</t>
  </si>
  <si>
    <t>São escassos e possuem valor de mercado.</t>
  </si>
  <si>
    <t>Existem apenas no setor industrial.</t>
  </si>
  <si>
    <t>Não atendem necessidades humanas.</t>
  </si>
  <si>
    <t>11-13</t>
  </si>
  <si>
    <t>ECO_T1_011</t>
  </si>
  <si>
    <t>Qual alternativa apresenta um exemplo de bem NÃO econômico?</t>
  </si>
  <si>
    <t>Combustível.</t>
  </si>
  <si>
    <t>Geladeira.</t>
  </si>
  <si>
    <t>Ar atmosférico.</t>
  </si>
  <si>
    <t>Automóvel.</t>
  </si>
  <si>
    <t>Produto de limpeza.</t>
  </si>
  <si>
    <t>ECO_T1_012</t>
  </si>
  <si>
    <t>Produtos de limpeza e combustíveis são exemplos de:</t>
  </si>
  <si>
    <t>Bens de capital.</t>
  </si>
  <si>
    <t>Bens intermediários.</t>
  </si>
  <si>
    <t>Bens de consumo não duráveis.</t>
  </si>
  <si>
    <t>Bens imateriais.</t>
  </si>
  <si>
    <t>Bens finais duráveis.</t>
  </si>
  <si>
    <t>ECO_T1_013</t>
  </si>
  <si>
    <t>Automóveis e geladeiras são classificados como:</t>
  </si>
  <si>
    <t>Bens de consumo duráveis.</t>
  </si>
  <si>
    <t>Bens perecíveis.</t>
  </si>
  <si>
    <t>ECO_T1_014</t>
  </si>
  <si>
    <t>Em uma propriedade rural, tratores e implementos agrícolas utilizados na produção são classificados como:</t>
  </si>
  <si>
    <t>Bens finais.</t>
  </si>
  <si>
    <t>Bens de consumo.</t>
  </si>
  <si>
    <t>ECO_T1_015</t>
  </si>
  <si>
    <t>Os fertilizantes utilizados pelo agricultor para a produção de soja representam:</t>
  </si>
  <si>
    <t>Bens duráveis.</t>
  </si>
  <si>
    <t>Bens de luxo.</t>
  </si>
  <si>
    <t>ECO_T1_016</t>
  </si>
  <si>
    <t>O serviço prestado por um técnico agrícola é considerado um:</t>
  </si>
  <si>
    <t>Bem de capital.</t>
  </si>
  <si>
    <t>Bem final.</t>
  </si>
  <si>
    <t>Bem imaterial.</t>
  </si>
  <si>
    <t>Bem intermediário.</t>
  </si>
  <si>
    <t>Bem durável.</t>
  </si>
  <si>
    <t>ECO_T1_017</t>
  </si>
  <si>
    <t>Fatores de produção</t>
  </si>
  <si>
    <t>Os fatores de produção essenciais utilizados pelas empresas são:</t>
  </si>
  <si>
    <t>Mercado, moeda e impostos.</t>
  </si>
  <si>
    <t>Capital, terra e trabalho.</t>
  </si>
  <si>
    <t>Famílias, empresas e governo.</t>
  </si>
  <si>
    <t>Máquinas, sementes e fertilizantes.</t>
  </si>
  <si>
    <t>Oferta, demanda e preço.</t>
  </si>
  <si>
    <t>13-14</t>
  </si>
  <si>
    <t>ECO_T1_018</t>
  </si>
  <si>
    <t>Difícil</t>
  </si>
  <si>
    <t>Um produtor utiliza um trator para preparar o solo para o plantio de feijão. Nesse caso, o trator representa qual fator de produção?</t>
  </si>
  <si>
    <t>Trabalho.</t>
  </si>
  <si>
    <t>Terra.</t>
  </si>
  <si>
    <t>Capital.</t>
  </si>
  <si>
    <t>Moeda.</t>
  </si>
  <si>
    <t>Consumo.</t>
  </si>
  <si>
    <t>ECO_T1_019</t>
  </si>
  <si>
    <t>Florestas, recursos minerais e recursos hídricos fazem parte do fator de produção:</t>
  </si>
  <si>
    <t>Tecnologia.</t>
  </si>
  <si>
    <t>ECO_T1_020</t>
  </si>
  <si>
    <t>O esforço físico e mental necessário para realizar atividades produtivas corresponde ao fator de produção:</t>
  </si>
  <si>
    <t>Mercado.</t>
  </si>
  <si>
    <t>ECO_T1_021</t>
  </si>
  <si>
    <t>Agentes econômicos</t>
  </si>
  <si>
    <t>Quais são os agentes econômicos de uma sociedade?</t>
  </si>
  <si>
    <t>Empresas, bancos e consumidores.</t>
  </si>
  <si>
    <t>Mercado, moeda e empresas.</t>
  </si>
  <si>
    <t>Capital, trabalho e terra.</t>
  </si>
  <si>
    <t>Indústria, comércio e serviços.</t>
  </si>
  <si>
    <t>14-15</t>
  </si>
  <si>
    <t>ECO_T1_022</t>
  </si>
  <si>
    <t>Além de consumir bens e serviços, as famílias também têm a função de:</t>
  </si>
  <si>
    <t>Produzir moeda.</t>
  </si>
  <si>
    <t>Oferecer recursos produtivos às empresas.</t>
  </si>
  <si>
    <t>Fiscalizar a economia.</t>
  </si>
  <si>
    <t>Definir políticas públicas.</t>
  </si>
  <si>
    <t>Controlar exportações.</t>
  </si>
  <si>
    <t>ECO_T1_023</t>
  </si>
  <si>
    <t>A principal função das empresas em um sistema econômico é:</t>
  </si>
  <si>
    <t>Controlar a inflação.</t>
  </si>
  <si>
    <t>Produzir e comercializar bens e serviços.</t>
  </si>
  <si>
    <t>Emitir moeda.</t>
  </si>
  <si>
    <t>Fiscalizar o mercado.</t>
  </si>
  <si>
    <t>Regular importações.</t>
  </si>
  <si>
    <t>ECO_T1_024</t>
  </si>
  <si>
    <t>As ações do governo relacionadas à fiscalização da economia e provisão de moeda recebem o nome de:</t>
  </si>
  <si>
    <t>Estratégias privadas.</t>
  </si>
  <si>
    <t>Políticas públicas.</t>
  </si>
  <si>
    <t>Atividades comerciais.</t>
  </si>
  <si>
    <t>Administração empresarial.</t>
  </si>
  <si>
    <t>Políticas industriais.</t>
  </si>
  <si>
    <t>ECO_T1_025</t>
  </si>
  <si>
    <t>Cadeias produtivas do agronegócio brasileiro</t>
  </si>
  <si>
    <t>Uma cadeia produtiva pode ser definida como:</t>
  </si>
  <si>
    <t>Uma atividade industrial isolada.</t>
  </si>
  <si>
    <t>Um conjunto de operações conectadas técnica, comercial e financeiramente.</t>
  </si>
  <si>
    <t>Um sistema bancário rural.</t>
  </si>
  <si>
    <t>Um processo exclusivo da indústria.</t>
  </si>
  <si>
    <t>Uma política pública agrícola.</t>
  </si>
  <si>
    <t>15-18</t>
  </si>
  <si>
    <t>ECO_T1_026</t>
  </si>
  <si>
    <t>O estudo das cadeias produtivas do agronegócio permite analisar:</t>
  </si>
  <si>
    <t>Somente exportações.</t>
  </si>
  <si>
    <t>Apenas a produção agrícola.</t>
  </si>
  <si>
    <t>Estratégias, contratos e logística entre agentes econômicos.</t>
  </si>
  <si>
    <t>Somente preços internacionais.</t>
  </si>
  <si>
    <t>Exclusivamente impostos rurais.</t>
  </si>
  <si>
    <t>ECO_T1_027</t>
  </si>
  <si>
    <t>Qual dos grupos abaixo faz parte da estrutura-padrão das cadeias produtivas agropecuárias?</t>
  </si>
  <si>
    <t>Bolsa de valores.</t>
  </si>
  <si>
    <t>Consumidor final.</t>
  </si>
  <si>
    <t>Sistema eleitoral.</t>
  </si>
  <si>
    <t>Mercado financeiro.</t>
  </si>
  <si>
    <t>Setor de mineração.</t>
  </si>
  <si>
    <t>ECO_T1_028</t>
  </si>
  <si>
    <t>Uma cadeia produtiva desorganizada pode gerar:</t>
  </si>
  <si>
    <t>Maior satisfação do consumidor.</t>
  </si>
  <si>
    <t>Melhor fluxo de informações.</t>
  </si>
  <si>
    <t>Prejuízos aos membros da cadeia produtiva.</t>
  </si>
  <si>
    <t>Redução automática de custos.</t>
  </si>
  <si>
    <t>Maior qualidade garantida.</t>
  </si>
  <si>
    <t>ECO_T1_029</t>
  </si>
  <si>
    <t>Economia Rural</t>
  </si>
  <si>
    <t>Segundo o Ministério da Agricultura, o agronegócio envolve:</t>
  </si>
  <si>
    <t>Somente a produção agrícola.</t>
  </si>
  <si>
    <t>Da fabricação de insumos até o consumo final.</t>
  </si>
  <si>
    <t>Apenas exportações.</t>
  </si>
  <si>
    <t>Somente agroindústrias.</t>
  </si>
  <si>
    <t>Somente transporte rural.</t>
  </si>
  <si>
    <t>19-21</t>
  </si>
  <si>
    <t>ECO_T1_030</t>
  </si>
  <si>
    <t>Qual alternativa apresenta corretamente os cinco mercados do complexo agroindustrial?</t>
  </si>
  <si>
    <t>Produção, indústria, comércio, exportação e consumo.</t>
  </si>
  <si>
    <t>Suprimentos, produção, processamento, distribuição e consumo final.</t>
  </si>
  <si>
    <t>Produção, armazenagem, exportação, transporte e varejo.</t>
  </si>
  <si>
    <t>Agricultura, pecuária, indústria, logística e comércio.</t>
  </si>
  <si>
    <t>Produção, mercado interno, exportação, impostos e consumo.</t>
  </si>
  <si>
    <t>ECO_T1_031</t>
  </si>
  <si>
    <t>A necessidade de armazenagem e refrigeração da produção agropecuária está relacionada principalmente à:</t>
  </si>
  <si>
    <t>Concorrência perfeita.</t>
  </si>
  <si>
    <t>Perecibilidade dos produtos.</t>
  </si>
  <si>
    <t>Política monetária.</t>
  </si>
  <si>
    <t>Industrialização urbana.</t>
  </si>
  <si>
    <t>Importação de alimentos.</t>
  </si>
  <si>
    <t>ECO_T1_032</t>
  </si>
  <si>
    <t>O período do ano em que ocorre a produção agrícola de determinado produto recebe o nome de:</t>
  </si>
  <si>
    <t>Entressafra.</t>
  </si>
  <si>
    <t>Safra.</t>
  </si>
  <si>
    <t>Industrialização.</t>
  </si>
  <si>
    <t>Processamento.</t>
  </si>
  <si>
    <t>ECO_T1_033</t>
  </si>
  <si>
    <t>A produção agropecuária pode sofrer influência de fatores como seca, frio, doenças e pragas. Esses fatores são classificados como:</t>
  </si>
  <si>
    <t>Fatores monetários.</t>
  </si>
  <si>
    <t>Fatores climáticos e biológicos.</t>
  </si>
  <si>
    <t>Fatores industriais.</t>
  </si>
  <si>
    <t>Fatores financeiros.</t>
  </si>
  <si>
    <t>Fatores urbanos.</t>
  </si>
  <si>
    <t>ECO_T1_034</t>
  </si>
  <si>
    <t>O segmento “antes da porteira” é caracterizado principalmente por atividades relacionadas à:</t>
  </si>
  <si>
    <t>Industrialização dos produtos.</t>
  </si>
  <si>
    <t>Comercialização final.</t>
  </si>
  <si>
    <t>Aquisição de insumos e equipamentos.</t>
  </si>
  <si>
    <t>Exportação agropecuária.</t>
  </si>
  <si>
    <t>Consumo doméstico.</t>
  </si>
  <si>
    <t>ECO_T1_035</t>
  </si>
  <si>
    <t>A produção de café, carne bovina e hortaliças pertence ao segmento:</t>
  </si>
  <si>
    <t>Antes da porteira.</t>
  </si>
  <si>
    <t>Dentro da porteira.</t>
  </si>
  <si>
    <t>Depois da porteira.</t>
  </si>
  <si>
    <t>Setor financeiro.</t>
  </si>
  <si>
    <t>Mercado externo.</t>
  </si>
  <si>
    <t>ECO_T1_036</t>
  </si>
  <si>
    <t>As atividades de armazenamento, beneficiamento e transporte agropecuário pertencem ao segmento:</t>
  </si>
  <si>
    <t>Setor de insumos.</t>
  </si>
  <si>
    <t>Produção vegetal.</t>
  </si>
  <si>
    <t>ECO_T1_037</t>
  </si>
  <si>
    <t>Durante a análise de uma cadeia produtiva agroindustrial, um pesquisador observou a atuação do sistema financeiro, embalagens, transporte e associações de classe. Esses elementos são classificados como:</t>
  </si>
  <si>
    <t>Atividades de apoio da cadeia produtiva.</t>
  </si>
  <si>
    <t>Segmentos industriais finais.</t>
  </si>
  <si>
    <t>Mercados consumidores.</t>
  </si>
  <si>
    <t>Fatores de produção naturais.</t>
  </si>
  <si>
    <t>Políticas monetárias.</t>
  </si>
  <si>
    <t>ECO_T1_038</t>
  </si>
  <si>
    <t>Uma agroindústria deseja propor melhorias no crédito rural e nas políticas de extensão agrícola. O estudo mais adequado para essa análise é o das:</t>
  </si>
  <si>
    <t>Taxas cambiais.</t>
  </si>
  <si>
    <t>Cadeias produtivas do agronegócio.</t>
  </si>
  <si>
    <t>Estruturas monetárias.</t>
  </si>
  <si>
    <t>Reservas internacionais.</t>
  </si>
  <si>
    <t>Políticas industriais urbanas.</t>
  </si>
  <si>
    <t>ECO_T1_039</t>
  </si>
  <si>
    <t>Uma empresa do agronegócio precisa organizar informações sobre mercado, armazenagem e sistema de resfriamento para melhorar a distribuição de alimentos. Esses elementos pertencem principalmente ao segmento:</t>
  </si>
  <si>
    <t>Serviços de apoio.</t>
  </si>
  <si>
    <t>Produção animal.</t>
  </si>
  <si>
    <t>Extrativismo.</t>
  </si>
  <si>
    <t>ECO_T1_040</t>
  </si>
  <si>
    <t>No contexto das cadeias produtivas agroindustriais, bares, restaurantes, supermercados e hotéis pertencem ao segmento de:</t>
  </si>
  <si>
    <t>Distribuição.</t>
  </si>
  <si>
    <t>Produção rural.</t>
  </si>
  <si>
    <t>Extração mineral.</t>
  </si>
  <si>
    <t>Pesquisa científica.</t>
  </si>
  <si>
    <t>ECO_T1_041</t>
  </si>
  <si>
    <t>Em uma cadeia produtiva do agronegócio, a indústria de alimentos, bebidas, papel e fármacos pertence ao segmento:</t>
  </si>
  <si>
    <t>Produção agropecuária.</t>
  </si>
  <si>
    <t>Transformação.</t>
  </si>
  <si>
    <t>Consumo final.</t>
  </si>
  <si>
    <t>Serviços financeiros.</t>
  </si>
  <si>
    <t>ECO_T1_042</t>
  </si>
  <si>
    <t>A produção vegetal, a produção animal e o extrativismo pertencem ao segmento denominado:</t>
  </si>
  <si>
    <t>Importação.</t>
  </si>
  <si>
    <t>ECO_T1_043</t>
  </si>
  <si>
    <t>A aquisição de defensivos, fertilizantes, máquinas e equipamentos está relacionada principalmente ao segmento:</t>
  </si>
  <si>
    <t>Segmento a montante.</t>
  </si>
  <si>
    <t>Segmento varejista.</t>
  </si>
  <si>
    <t>Segmento consumidor.</t>
  </si>
  <si>
    <t>Sistema monetário.</t>
  </si>
  <si>
    <t>ECO_T1_044</t>
  </si>
  <si>
    <t>Desenvolvimento sustentável aplicado ao agronegócio</t>
  </si>
  <si>
    <t>A utilização racional dos recursos produtivos visando minimizar impactos ambientais está associada ao conceito de:</t>
  </si>
  <si>
    <t>Desenvolvimento sustentável.</t>
  </si>
  <si>
    <t>Inflação estrutural.</t>
  </si>
  <si>
    <t>Política cambial.</t>
  </si>
  <si>
    <t>21</t>
  </si>
  <si>
    <t>ECO_T1_045</t>
  </si>
  <si>
    <t>Qual dimensão da sustentabilidade enfatiza o uso responsável dos recursos naturais e a preservação ambiental?</t>
  </si>
  <si>
    <t>Dimensão cultural.</t>
  </si>
  <si>
    <t>Dimensão econômica.</t>
  </si>
  <si>
    <t>Dimensão ecológica.</t>
  </si>
  <si>
    <t>Dimensão financeira.</t>
  </si>
  <si>
    <t>Dimensão tecnológica.</t>
  </si>
  <si>
    <t>ECO_T1_046</t>
  </si>
  <si>
    <t>Segundo a apostila, o Plano Agrícola e Pecuário (PAP) possui como objetivo principal:</t>
  </si>
  <si>
    <t>Regular apenas exportações.</t>
  </si>
  <si>
    <t>Definir propostas prioritárias para o agronegócio.</t>
  </si>
  <si>
    <t>Controlar preços industriais.</t>
  </si>
  <si>
    <t>Criar impostos municipais.</t>
  </si>
  <si>
    <t>Fiscalizar supermercados.</t>
  </si>
  <si>
    <t>LETRA</t>
  </si>
  <si>
    <t>IND</t>
  </si>
  <si>
    <t>CORRETO</t>
  </si>
  <si>
    <t>CORRETO FORM</t>
  </si>
  <si>
    <t>NIVEL</t>
  </si>
  <si>
    <t>TOPICO</t>
  </si>
  <si>
    <t xml:space="preserve">A questão “o que produzir?” está relacionada à escolha dos bens e serviços que serão disponibilizados aos consumidores.  
</t>
  </si>
  <si>
    <t>A Microeconomia analisa o comportamento das famílias e empresas nas situações de mercado.  No sistema econômico, as famílias participam tanto consumindo produtos quanto oferecendo mão de obra às empresas.</t>
  </si>
  <si>
    <t>A Economia é uma ciência social que analisa os sistemas de produção de bens e serviços com o objetivo de proporcionar a melhor alocação dos recursos produtivos disponíveis para atender às necessidades da sociedade. Isso significa utilizar máquinas, trabalhadores, terra, capital e matéria-prima da forma mais eficiente possível.
Na prática, uma cooperativa agrícola precisa decidir como utilizar tratores, mão de obra, sementes e fertilizantes sem desperdícios, buscando maior produtividade e melhor resultado econômico.</t>
  </si>
  <si>
    <t xml:space="preserve">Bens de capital compõem o sistema produtivo e são utilizados para produzir outros bens. 
</t>
  </si>
  <si>
    <t xml:space="preserve">A questão “para quem produzir?” relaciona-se com a definição de quem consumirá os bens e serviços produzidos.  
</t>
  </si>
  <si>
    <t xml:space="preserve">O termo “economia” deriva das palavras gregas “oikos” (casa) e “nomos” (costume ou lei), podendo ser traduzido como “administração do lar”. A apostila destaca que a Economia estuda a atividade produtiva e a forma como os recursos são organizados para satisfazer as necessidades humanas.
Esse conceito ajuda a compreender que tanto uma família quanto uma empresa precisam administrar recursos limitados para atender suas necessidades.
</t>
  </si>
  <si>
    <t xml:space="preserve">A apostila apresenta como exemplos de necessidades humanas a alimentação, educação, moradia, vestuário, transporte, comunicação, lazer e artigos de luxo.
Essas necessidades podem ser individuais ou coletivas e são satisfeitas por meio do consumo de bens e serviços. No cotidiano, uma pessoa necessita de alimentação e moradia, mas também busca lazer, comunicação e conforto.
</t>
  </si>
  <si>
    <t xml:space="preserve">Os bens econômicos são relativamente escassos e necessitam de trabalho humano para serem obtidos.  </t>
  </si>
  <si>
    <t>O ar não é considerado um bem econômico porque possui oferta ilimitada e não requer trabalho humano para utilização. .</t>
  </si>
  <si>
    <t xml:space="preserve">Bens de consumo não duráveis são utilizados rapidamente, como alimentos, combustíveis e produtos de limpeza.  </t>
  </si>
  <si>
    <t>Tema 1: Princípios de Economia, Tópico 2: Classificação de bens e serviços. Pág. 12.</t>
  </si>
  <si>
    <t>Tema 1: Princípios de Economia, Tópico 1: Introdução à Economia, Item 2: Classificação de bens e serviços. Pág. 12.</t>
  </si>
  <si>
    <t>Tema 1: Princípios de Economia, Tópico 1: Introdução à Economia, Item1: Conceitos básicos, Pág. 10.</t>
  </si>
  <si>
    <t>Tema 1: Princípios de Economia, Tópico 1: Introdução à Economia. Pág. 10.</t>
  </si>
  <si>
    <t>Tema 1: Princípios de Economia, Tópico 1: Introdução à Economia, Item1: Conceitos básicos, Pág. 11.</t>
  </si>
  <si>
    <t>Tema 1: Princípios de Economia, Tópico 1: Introdução à Economia, Item 2: Classificação de bens e serviços. Pág. 11.</t>
  </si>
  <si>
    <t>Tema 1: Princípios de Economia, Tópico 2: Classificação de bens e serviços. Pág. 11-13.</t>
  </si>
  <si>
    <t xml:space="preserve">Bens intermediários são utilizados na produção de outros bens. </t>
  </si>
  <si>
    <t xml:space="preserve">Os bens imateriais não possuem existência física, como serviços de assistência técnica e educação. </t>
  </si>
  <si>
    <t xml:space="preserve">Os fatores de produção fundamentais são capital, terra e trabalho. 
</t>
  </si>
  <si>
    <t>Tema 1: Princípios de Economia, Tópico 3: Fatores de produção. Pág. 13-14.</t>
  </si>
  <si>
    <t xml:space="preserve">Máquinas e equipamentos utilizados no sistema produtivo são classificados como capital.  
</t>
  </si>
  <si>
    <t>O fator terra inclui todos os recursos naturais utilizados nos sistemas produtivos.</t>
  </si>
  <si>
    <t>O fator trabalho consiste na capacidade produtiva das pessoas envolvidas nos sistemas produtivos.</t>
  </si>
  <si>
    <t xml:space="preserve">Os principais agentes econômicos são famílias, empresas e governo. 
No sistema econômico, as famílias participam tanto consumindo produtos quanto oferecendo mão de obra às empresas.
</t>
  </si>
  <si>
    <t>Tema 1: Princípios de Economia, Tópico 4: Agentes econômicos. Pág. 14-15.</t>
  </si>
  <si>
    <t>]Tema 1: Princípios de Economia, Tópico 4: Agentes econômicos. Pág. 14-15.</t>
  </si>
  <si>
    <t xml:space="preserve">As famílias oferecem recursos produtivos, especialmente mão de obra, às empresas.  
No sistema econômico, as famílias participam tanto consumindo produtos quanto oferecendo mão de obra às empresas.
</t>
  </si>
  <si>
    <t xml:space="preserve">As empresas produzem e comercializam bens e serviços utilizando fatores de produção.  
</t>
  </si>
  <si>
    <t>As ações do governo voltadas ao funcionamento do sistema econômico são chamadas de políticas públicas.</t>
  </si>
  <si>
    <t>Tema 1: Princípios de Economia, Tópico 5: Cadeias produtivas do agronegócio brasileiro. Pág. 15-18.</t>
  </si>
  <si>
    <t xml:space="preserve">As cadeias produtivas envolvem operações ligadas por relações técnicas, comerciais e financeiras.  
No agronegócio, o bom relacionamento entre os agentes econômicos melhora a qualidade dos produtos e reduz desperdícios.
</t>
  </si>
  <si>
    <t xml:space="preserve">O estudo das cadeias produtivas permite analisar estratégias, contratos, logística e problemas estruturais do agronegócio. 
No agronegócio, o bom relacionamento entre os agentes econômicos melhora a qualidade dos produtos e reduz desperdícios.
</t>
  </si>
  <si>
    <t xml:space="preserve">As cadeias produtivas agropecuárias incluem indústria de insumos, produtores, agroindústria, varejo e consumidor final.  
No agronegócio, o bom relacionamento entre os agentes econômicos melhora a qualidade dos produtos e reduz desperdícios.
</t>
  </si>
  <si>
    <t xml:space="preserve">Fluxos inadequados de informações dificultam a adequação do produto aos consumidores e podem gerar prejuízos. </t>
  </si>
  <si>
    <t xml:space="preserve">O agronegócio compreende toda a cadeia produtiva, desde os insumos até o consumo final. </t>
  </si>
  <si>
    <t>Tema 1: Princípios de Economia, Tópico 6: Economia Rural. Pág. 19-21.</t>
  </si>
  <si>
    <t xml:space="preserve">O valor agregado do agronegócio passa pelos mercados de suprimentos, produção, processamento, distribuição e consumo final.  
</t>
  </si>
  <si>
    <t xml:space="preserve">A perecibilidade dos produtos agropecuários exige infraestrutura de armazenagem e refrigeração para reduzir perdas.
Por isso, frutas, verduras e carnes exigem refrigeração e armazenagem adequada para evitar perdas.
</t>
  </si>
  <si>
    <t>Fonte: Tema 1: Princípios de Economia, Tópico 6: Economia Rural. Pág. 19-21.</t>
  </si>
  <si>
    <t xml:space="preserve">A sazonalidade da produção agrícola faz com que determinadas culturas sejam produzidas em períodos específicos chamados de safra.  </t>
  </si>
  <si>
    <t xml:space="preserve">A produção agropecuária sofre forte influência de fatores climáticos e biológicos que podem comprometer produtividade e qualidade.  
Exemplos incluem a produção de café, soja, carne bovina, hortaliças e outras atividades rurais.
</t>
  </si>
  <si>
    <t xml:space="preserve">O segmento “antes da porteira” envolve sementes, fertilizantes, máquinas e demais insumos necessários à produção. </t>
  </si>
  <si>
    <t xml:space="preserve">O segmento “dentro da porteira” corresponde às atividades produtivas agropecuárias. </t>
  </si>
  <si>
    <t xml:space="preserve">O segmento “depois da porteira” é composto pelas atividades de processamento, distribuição e comercialização dos produtos agropecuários. </t>
  </si>
  <si>
    <t>As atividades de apoio das cadeias produtivas incluem sistema financeiro, embalagens, transportes, associações de classe e políticas governamentais.  
No agronegócio, o bom relacionamento entre os agentes econômicos melhora a qualidade dos produtos e reduz desperdícios.</t>
  </si>
  <si>
    <t>Tema 1: Princípios de Economia, Tópico 1: Introdução à Economia. Pág. 10-11.</t>
  </si>
  <si>
    <t>O estudo das cadeias produtivas permite analisar políticas públicas relacionadas ao setor rural, como crédito e extensão rural. 
No agronegócio, o bom relacionamento entre os agentes econômicos melhora a qualidade dos produtos e reduz desperdícios.</t>
  </si>
  <si>
    <t xml:space="preserve">Os serviços de apoio incluem armazenagem, sistema de resfriamento, transporte, informações de mercado e pesquisa.  
</t>
  </si>
  <si>
    <t xml:space="preserve">Bares, restaurantes, supermercados e hotéis fazem parte do segmento de distribuição da cadeia produtiva. 
</t>
  </si>
  <si>
    <t xml:space="preserve">As indústrias que processam matérias-primas agropecuárias pertencem ao segmento de transformação. </t>
  </si>
  <si>
    <t xml:space="preserve">Produção vegetal, produção animal e extrativismo fazem parte da produção agropecuária, segmento conhecido como dentro da porteira.  
Exemplos incluem a produção de café, soja, carne bovina, hortaliças e outras atividades rurais.
</t>
  </si>
  <si>
    <t xml:space="preserve">Os insumos utilizados antes da produção agropecuária pertencem ao segmento a montante, conhecido como antes da porteira.  
Exemplos incluem a produção de café, soja, carne bovina, hortaliças e outras atividades rurais.
</t>
  </si>
  <si>
    <t xml:space="preserve">O desenvolvimento sustentável busca utilizar os recursos de forma racional, preservando os recursos naturais e produtivos.  
</t>
  </si>
  <si>
    <t xml:space="preserve">A dimensão ecológica da sustentabilidade está relacionada ao uso racional dos recursos naturais e à preservação ambiental.  
</t>
  </si>
  <si>
    <t xml:space="preserve">O PAP estabelece propostas prioritárias para o agronegócio como setor da Economia.  
</t>
  </si>
  <si>
    <t>Tema 1: Desenvolvimento sustentável aplicado ao agronegócio. Pág. 21.</t>
  </si>
  <si>
    <t>Tema 1: Introdução ao agronegócio. Pág. 10-11.</t>
  </si>
  <si>
    <t xml:space="preserve">Bens duráveis podem ser utilizados por um longo período de tempo.  
</t>
  </si>
  <si>
    <t xml:space="preserve">A Macroeconomia estuda agregados econômicos como PIB, emprego e sistema monetário.  </t>
  </si>
  <si>
    <t>Princípios de Economia, Tópico 1: Introdução à Economia, Item1: Conceitos básicos, Pág. 11.</t>
  </si>
  <si>
    <t xml:space="preserve">A pergunta “como produzir?” refere-se ao método ou tecnologia utilizada na produção de bens e serviços.  
</t>
  </si>
  <si>
    <t xml:space="preserve">Segundo a apostila, o principal problema estudado pela Economia é a escassez dos recursos produtivos. Enquanto as necessidades humanas são ilimitadas e se renovam constantemente, os recursos disponíveis para produzir bens e serviços são limitados.
Isso pode ser observado quando famílias desejam melhorar sua qualidade de vida adquirindo novos bens, como casa, carro, roupas e serviços, mas possuem renda limitada.
</t>
  </si>
  <si>
    <t>Ouro</t>
  </si>
  <si>
    <t>Tema 2</t>
  </si>
  <si>
    <t>ECO_T2_001</t>
  </si>
  <si>
    <t>Tema 2: Princípios de Economia, Tópico 3: Fatores de produção. Pág. 13-14.</t>
  </si>
  <si>
    <t>O fator terra inclui todos os recursos naturais utilizados nos sistemas produtivos.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</si>
</sst>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rgb="FFFFC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3" borderId="0" xfId="0" applyFill="1" applyAlignment="1">
      <alignment vertical="top"/>
    </xf>
    <xf numFmtId="0" fontId="1" fillId="2" borderId="4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0" fillId="5" borderId="4" xfId="0" applyFill="1" applyBorder="1" applyAlignment="1">
      <alignment vertical="top" wrapText="1"/>
    </xf>
    <xf numFmtId="0" fontId="0" fillId="5" borderId="4" xfId="0" applyFill="1" applyBorder="1" applyAlignment="1">
      <alignment horizontal="center" vertical="top" wrapText="1"/>
    </xf>
    <xf numFmtId="0" fontId="0" fillId="5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</cellXfs>
  <cellStyles count="1">
    <cellStyle name="Normal" xfId="0" builtinId="0"/>
  </cellStyles>
  <dxfs count="2"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70BD71-5B01-422C-A9BE-0D6E982B54C3}" name="Tabela2" displayName="Tabela2" ref="A1:B6" totalsRowShown="0">
  <autoFilter ref="A1:B6" xr:uid="{E170BD71-5B01-422C-A9BE-0D6E982B54C3}"/>
  <tableColumns count="2">
    <tableColumn id="1" xr3:uid="{D8B77E41-9450-47CE-97F9-4F3DECBFCC06}" name="LETRA" dataDxfId="1"/>
    <tableColumn id="2" xr3:uid="{09D672CB-2D6D-4C68-A76E-041AC23F9D31}" name="IN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"/>
  <sheetViews>
    <sheetView tabSelected="1" topLeftCell="B46" zoomScale="90" zoomScaleNormal="90" workbookViewId="0">
      <selection activeCell="R47" sqref="R47"/>
    </sheetView>
  </sheetViews>
  <sheetFormatPr defaultRowHeight="210.75" customHeight="1" x14ac:dyDescent="0.25"/>
  <cols>
    <col min="1" max="1" width="12.140625" style="1" customWidth="1"/>
    <col min="2" max="2" width="13" style="1" customWidth="1"/>
    <col min="3" max="3" width="8.28515625" style="1" customWidth="1"/>
    <col min="4" max="4" width="12.28515625" style="1" customWidth="1"/>
    <col min="5" max="5" width="8.28515625" style="1" customWidth="1"/>
    <col min="6" max="6" width="32.5703125" style="1" customWidth="1"/>
    <col min="7" max="7" width="13.140625" style="1" customWidth="1"/>
    <col min="8" max="11" width="10.7109375" style="1" customWidth="1"/>
    <col min="12" max="12" width="13.85546875" style="2" customWidth="1"/>
    <col min="13" max="14" width="14.85546875" style="2" hidden="1" customWidth="1"/>
    <col min="15" max="15" width="67" style="1" customWidth="1"/>
    <col min="16" max="16" width="17.5703125" style="1" customWidth="1"/>
    <col min="17" max="17" width="10.28515625" style="2" customWidth="1"/>
    <col min="18" max="16384" width="9.140625" style="1"/>
  </cols>
  <sheetData>
    <row r="1" spans="1:18" ht="30" x14ac:dyDescent="0.25">
      <c r="A1" s="4" t="s">
        <v>0</v>
      </c>
      <c r="B1" s="5" t="s">
        <v>1</v>
      </c>
      <c r="C1" s="5" t="s">
        <v>2</v>
      </c>
      <c r="D1" s="5" t="s">
        <v>319</v>
      </c>
      <c r="E1" s="5" t="s">
        <v>318</v>
      </c>
      <c r="F1" s="5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316</v>
      </c>
      <c r="M1" s="4" t="s">
        <v>317</v>
      </c>
      <c r="N1" s="4" t="s">
        <v>9</v>
      </c>
      <c r="O1" s="4" t="s">
        <v>10</v>
      </c>
      <c r="P1" s="4" t="s">
        <v>11</v>
      </c>
      <c r="Q1" s="6" t="s">
        <v>12</v>
      </c>
    </row>
    <row r="2" spans="1:18" ht="210.75" customHeight="1" x14ac:dyDescent="0.25">
      <c r="A2" s="7" t="s">
        <v>13</v>
      </c>
      <c r="B2" s="7" t="s">
        <v>14</v>
      </c>
      <c r="C2" s="7" t="s">
        <v>15</v>
      </c>
      <c r="D2" s="7" t="s">
        <v>16</v>
      </c>
      <c r="E2" s="7" t="s">
        <v>383</v>
      </c>
      <c r="F2" s="7" t="s">
        <v>18</v>
      </c>
      <c r="G2" s="7" t="s">
        <v>19</v>
      </c>
      <c r="H2" s="7" t="s">
        <v>20</v>
      </c>
      <c r="I2" s="7" t="s">
        <v>21</v>
      </c>
      <c r="J2" s="7" t="s">
        <v>22</v>
      </c>
      <c r="K2" s="7" t="s">
        <v>23</v>
      </c>
      <c r="L2" s="8" t="s">
        <v>6</v>
      </c>
      <c r="M2" s="8">
        <f>_xlfn.XLOOKUP(questoes!$L2,Tabela2[LETRA],Tabela2[IND],"",0)</f>
        <v>2</v>
      </c>
      <c r="N2" s="8">
        <v>2</v>
      </c>
      <c r="O2" s="7" t="s">
        <v>322</v>
      </c>
      <c r="P2" s="10" t="s">
        <v>332</v>
      </c>
      <c r="Q2" s="9">
        <v>10</v>
      </c>
      <c r="R2" s="3"/>
    </row>
    <row r="3" spans="1:18" ht="210.75" customHeight="1" x14ac:dyDescent="0.25">
      <c r="A3" s="10" t="s">
        <v>25</v>
      </c>
      <c r="B3" s="10" t="s">
        <v>14</v>
      </c>
      <c r="C3" s="10" t="s">
        <v>15</v>
      </c>
      <c r="D3" s="10" t="s">
        <v>16</v>
      </c>
      <c r="E3" s="10" t="s">
        <v>17</v>
      </c>
      <c r="F3" s="10" t="s">
        <v>26</v>
      </c>
      <c r="G3" s="10" t="s">
        <v>27</v>
      </c>
      <c r="H3" s="10" t="s">
        <v>28</v>
      </c>
      <c r="I3" s="10" t="s">
        <v>29</v>
      </c>
      <c r="J3" s="10" t="s">
        <v>30</v>
      </c>
      <c r="K3" s="10" t="s">
        <v>31</v>
      </c>
      <c r="L3" s="11" t="s">
        <v>4</v>
      </c>
      <c r="M3" s="11">
        <f>_xlfn.XLOOKUP(questoes!$L3,Tabela2[LETRA],Tabela2[IND],"",0)</f>
        <v>0</v>
      </c>
      <c r="N3" s="11">
        <v>0</v>
      </c>
      <c r="O3" s="10" t="s">
        <v>325</v>
      </c>
      <c r="P3" s="10" t="s">
        <v>332</v>
      </c>
      <c r="Q3" s="12">
        <v>10</v>
      </c>
      <c r="R3" s="3"/>
    </row>
    <row r="4" spans="1:18" ht="210.75" customHeight="1" x14ac:dyDescent="0.25">
      <c r="A4" s="7" t="s">
        <v>32</v>
      </c>
      <c r="B4" s="7" t="s">
        <v>14</v>
      </c>
      <c r="C4" s="7" t="s">
        <v>15</v>
      </c>
      <c r="D4" s="7" t="s">
        <v>16</v>
      </c>
      <c r="E4" s="7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7" t="s">
        <v>38</v>
      </c>
      <c r="K4" s="7" t="s">
        <v>39</v>
      </c>
      <c r="L4" s="8" t="s">
        <v>5</v>
      </c>
      <c r="M4" s="8">
        <f>_xlfn.XLOOKUP(questoes!$L4,Tabela2[LETRA],Tabela2[IND],"",0)</f>
        <v>1</v>
      </c>
      <c r="N4" s="8">
        <v>1</v>
      </c>
      <c r="O4" s="7" t="s">
        <v>382</v>
      </c>
      <c r="P4" s="7" t="s">
        <v>332</v>
      </c>
      <c r="Q4" s="9">
        <v>10</v>
      </c>
      <c r="R4" s="3"/>
    </row>
    <row r="5" spans="1:18" ht="210.75" customHeight="1" x14ac:dyDescent="0.25">
      <c r="A5" s="10" t="s">
        <v>40</v>
      </c>
      <c r="B5" s="10" t="s">
        <v>14</v>
      </c>
      <c r="C5" s="10" t="s">
        <v>15</v>
      </c>
      <c r="D5" s="10" t="s">
        <v>16</v>
      </c>
      <c r="E5" s="10" t="s">
        <v>17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1" t="s">
        <v>5</v>
      </c>
      <c r="M5" s="11">
        <f>_xlfn.XLOOKUP(questoes!$L5,Tabela2[LETRA],Tabela2[IND],"",0)</f>
        <v>1</v>
      </c>
      <c r="N5" s="11">
        <v>1</v>
      </c>
      <c r="O5" s="10" t="s">
        <v>326</v>
      </c>
      <c r="P5" s="10" t="s">
        <v>333</v>
      </c>
      <c r="Q5" s="12">
        <v>10</v>
      </c>
      <c r="R5" s="3"/>
    </row>
    <row r="6" spans="1:18" ht="210.75" customHeight="1" x14ac:dyDescent="0.25">
      <c r="A6" s="7" t="s">
        <v>47</v>
      </c>
      <c r="B6" s="7" t="s">
        <v>14</v>
      </c>
      <c r="C6" s="7" t="s">
        <v>15</v>
      </c>
      <c r="D6" s="7" t="s">
        <v>16</v>
      </c>
      <c r="E6" s="7" t="s">
        <v>33</v>
      </c>
      <c r="F6" s="7" t="s">
        <v>48</v>
      </c>
      <c r="G6" s="7" t="s">
        <v>49</v>
      </c>
      <c r="H6" s="7" t="s">
        <v>50</v>
      </c>
      <c r="I6" s="7" t="s">
        <v>51</v>
      </c>
      <c r="J6" s="7" t="s">
        <v>52</v>
      </c>
      <c r="K6" s="7" t="s">
        <v>53</v>
      </c>
      <c r="L6" s="8" t="s">
        <v>6</v>
      </c>
      <c r="M6" s="8">
        <f>_xlfn.XLOOKUP(questoes!$L6,Tabela2[LETRA],Tabela2[IND],"",0)</f>
        <v>2</v>
      </c>
      <c r="N6" s="8">
        <v>2</v>
      </c>
      <c r="O6" s="7" t="s">
        <v>320</v>
      </c>
      <c r="P6" s="7" t="s">
        <v>334</v>
      </c>
      <c r="Q6" s="9">
        <v>11</v>
      </c>
      <c r="R6" s="3"/>
    </row>
    <row r="7" spans="1:18" ht="210.75" customHeight="1" x14ac:dyDescent="0.25">
      <c r="A7" s="10" t="s">
        <v>54</v>
      </c>
      <c r="B7" s="10" t="s">
        <v>14</v>
      </c>
      <c r="C7" s="10" t="s">
        <v>15</v>
      </c>
      <c r="D7" s="10" t="s">
        <v>16</v>
      </c>
      <c r="E7" s="10" t="s">
        <v>17</v>
      </c>
      <c r="F7" s="10" t="s">
        <v>55</v>
      </c>
      <c r="G7" s="10" t="s">
        <v>50</v>
      </c>
      <c r="H7" s="10" t="s">
        <v>49</v>
      </c>
      <c r="I7" s="10" t="s">
        <v>56</v>
      </c>
      <c r="J7" s="10" t="s">
        <v>57</v>
      </c>
      <c r="K7" s="10" t="s">
        <v>58</v>
      </c>
      <c r="L7" s="11" t="s">
        <v>5</v>
      </c>
      <c r="M7" s="11">
        <f>_xlfn.XLOOKUP(questoes!$L7,Tabela2[LETRA],Tabela2[IND],"",0)</f>
        <v>1</v>
      </c>
      <c r="N7" s="11">
        <v>1</v>
      </c>
      <c r="O7" s="10" t="s">
        <v>381</v>
      </c>
      <c r="P7" s="10" t="s">
        <v>380</v>
      </c>
      <c r="Q7" s="12">
        <v>11</v>
      </c>
      <c r="R7" s="3"/>
    </row>
    <row r="8" spans="1:18" ht="210.75" customHeight="1" x14ac:dyDescent="0.25">
      <c r="A8" s="7" t="s">
        <v>59</v>
      </c>
      <c r="B8" s="7" t="s">
        <v>14</v>
      </c>
      <c r="C8" s="7" t="s">
        <v>15</v>
      </c>
      <c r="D8" s="7" t="s">
        <v>16</v>
      </c>
      <c r="E8" s="7" t="s">
        <v>33</v>
      </c>
      <c r="F8" s="7" t="s">
        <v>60</v>
      </c>
      <c r="G8" s="7" t="s">
        <v>49</v>
      </c>
      <c r="H8" s="7" t="s">
        <v>61</v>
      </c>
      <c r="I8" s="7" t="s">
        <v>52</v>
      </c>
      <c r="J8" s="7" t="s">
        <v>50</v>
      </c>
      <c r="K8" s="7" t="s">
        <v>62</v>
      </c>
      <c r="L8" s="8" t="s">
        <v>7</v>
      </c>
      <c r="M8" s="8">
        <f>_xlfn.XLOOKUP(questoes!$L8,Tabela2[LETRA],Tabela2[IND],"",0)</f>
        <v>3</v>
      </c>
      <c r="N8" s="8">
        <v>3</v>
      </c>
      <c r="O8" s="7" t="s">
        <v>324</v>
      </c>
      <c r="P8" s="7" t="s">
        <v>334</v>
      </c>
      <c r="Q8" s="9">
        <v>11</v>
      </c>
      <c r="R8" s="3"/>
    </row>
    <row r="9" spans="1:18" ht="210.75" customHeight="1" x14ac:dyDescent="0.25">
      <c r="A9" s="10" t="s">
        <v>63</v>
      </c>
      <c r="B9" s="10" t="s">
        <v>14</v>
      </c>
      <c r="C9" s="10" t="s">
        <v>15</v>
      </c>
      <c r="D9" s="10" t="s">
        <v>16</v>
      </c>
      <c r="E9" s="10" t="s">
        <v>383</v>
      </c>
      <c r="F9" s="10" t="s">
        <v>64</v>
      </c>
      <c r="G9" s="10" t="s">
        <v>65</v>
      </c>
      <c r="H9" s="10" t="s">
        <v>66</v>
      </c>
      <c r="I9" s="10" t="s">
        <v>67</v>
      </c>
      <c r="J9" s="10" t="s">
        <v>68</v>
      </c>
      <c r="K9" s="10" t="s">
        <v>69</v>
      </c>
      <c r="L9" s="11" t="s">
        <v>6</v>
      </c>
      <c r="M9" s="11">
        <f>_xlfn.XLOOKUP(questoes!$L9,Tabela2[LETRA],Tabela2[IND],"",0)</f>
        <v>2</v>
      </c>
      <c r="N9" s="11">
        <v>2</v>
      </c>
      <c r="O9" s="10" t="s">
        <v>321</v>
      </c>
      <c r="P9" s="10" t="s">
        <v>334</v>
      </c>
      <c r="Q9" s="12">
        <v>11</v>
      </c>
      <c r="R9" s="3"/>
    </row>
    <row r="10" spans="1:18" ht="210.75" customHeight="1" x14ac:dyDescent="0.25">
      <c r="A10" s="7" t="s">
        <v>70</v>
      </c>
      <c r="B10" s="7" t="s">
        <v>14</v>
      </c>
      <c r="C10" s="7" t="s">
        <v>15</v>
      </c>
      <c r="D10" s="7" t="s">
        <v>16</v>
      </c>
      <c r="E10" s="7" t="s">
        <v>33</v>
      </c>
      <c r="F10" s="7" t="s">
        <v>71</v>
      </c>
      <c r="G10" s="7" t="s">
        <v>67</v>
      </c>
      <c r="H10" s="7" t="s">
        <v>65</v>
      </c>
      <c r="I10" s="7" t="s">
        <v>72</v>
      </c>
      <c r="J10" s="7" t="s">
        <v>73</v>
      </c>
      <c r="K10" s="7" t="s">
        <v>74</v>
      </c>
      <c r="L10" s="8" t="s">
        <v>5</v>
      </c>
      <c r="M10" s="8">
        <f>_xlfn.XLOOKUP(questoes!$L10,Tabela2[LETRA],Tabela2[IND],"",0)</f>
        <v>1</v>
      </c>
      <c r="N10" s="8">
        <v>1</v>
      </c>
      <c r="O10" s="7" t="s">
        <v>379</v>
      </c>
      <c r="P10" s="7" t="s">
        <v>334</v>
      </c>
      <c r="Q10" s="9">
        <v>11</v>
      </c>
      <c r="R10" s="3"/>
    </row>
    <row r="11" spans="1:18" ht="210.75" customHeight="1" x14ac:dyDescent="0.25">
      <c r="A11" s="10" t="s">
        <v>75</v>
      </c>
      <c r="B11" s="10" t="s">
        <v>14</v>
      </c>
      <c r="C11" s="10" t="s">
        <v>15</v>
      </c>
      <c r="D11" s="10" t="s">
        <v>76</v>
      </c>
      <c r="E11" s="10" t="s">
        <v>17</v>
      </c>
      <c r="F11" s="10" t="s">
        <v>77</v>
      </c>
      <c r="G11" s="10" t="s">
        <v>78</v>
      </c>
      <c r="H11" s="10" t="s">
        <v>79</v>
      </c>
      <c r="I11" s="10" t="s">
        <v>80</v>
      </c>
      <c r="J11" s="10" t="s">
        <v>81</v>
      </c>
      <c r="K11" s="10" t="s">
        <v>82</v>
      </c>
      <c r="L11" s="11" t="s">
        <v>6</v>
      </c>
      <c r="M11" s="11">
        <f>_xlfn.XLOOKUP(questoes!$L11,Tabela2[LETRA],Tabela2[IND],"",0)</f>
        <v>2</v>
      </c>
      <c r="N11" s="11">
        <v>2</v>
      </c>
      <c r="O11" s="10" t="s">
        <v>327</v>
      </c>
      <c r="P11" s="10" t="s">
        <v>335</v>
      </c>
      <c r="Q11" s="12">
        <v>11</v>
      </c>
      <c r="R11" s="3"/>
    </row>
    <row r="12" spans="1:18" ht="210.75" customHeight="1" x14ac:dyDescent="0.25">
      <c r="A12" s="7" t="s">
        <v>84</v>
      </c>
      <c r="B12" s="7" t="s">
        <v>14</v>
      </c>
      <c r="C12" s="7" t="s">
        <v>15</v>
      </c>
      <c r="D12" s="7" t="s">
        <v>76</v>
      </c>
      <c r="E12" s="7" t="s">
        <v>17</v>
      </c>
      <c r="F12" s="7" t="s">
        <v>85</v>
      </c>
      <c r="G12" s="7" t="s">
        <v>86</v>
      </c>
      <c r="H12" s="7" t="s">
        <v>87</v>
      </c>
      <c r="I12" s="7" t="s">
        <v>88</v>
      </c>
      <c r="J12" s="7" t="s">
        <v>89</v>
      </c>
      <c r="K12" s="7" t="s">
        <v>90</v>
      </c>
      <c r="L12" s="8" t="s">
        <v>6</v>
      </c>
      <c r="M12" s="8">
        <f>_xlfn.XLOOKUP(questoes!$L12,Tabela2[LETRA],Tabela2[IND],"",0)</f>
        <v>2</v>
      </c>
      <c r="N12" s="8">
        <v>2</v>
      </c>
      <c r="O12" s="7" t="s">
        <v>328</v>
      </c>
      <c r="P12" s="7" t="s">
        <v>331</v>
      </c>
      <c r="Q12" s="9">
        <v>12</v>
      </c>
      <c r="R12" s="3"/>
    </row>
    <row r="13" spans="1:18" ht="210.75" customHeight="1" x14ac:dyDescent="0.25">
      <c r="A13" s="10" t="s">
        <v>91</v>
      </c>
      <c r="B13" s="10" t="s">
        <v>14</v>
      </c>
      <c r="C13" s="10" t="s">
        <v>15</v>
      </c>
      <c r="D13" s="10" t="s">
        <v>76</v>
      </c>
      <c r="E13" s="10" t="s">
        <v>17</v>
      </c>
      <c r="F13" s="10" t="s">
        <v>92</v>
      </c>
      <c r="G13" s="10" t="s">
        <v>93</v>
      </c>
      <c r="H13" s="10" t="s">
        <v>94</v>
      </c>
      <c r="I13" s="10" t="s">
        <v>95</v>
      </c>
      <c r="J13" s="10" t="s">
        <v>96</v>
      </c>
      <c r="K13" s="10" t="s">
        <v>97</v>
      </c>
      <c r="L13" s="11" t="s">
        <v>6</v>
      </c>
      <c r="M13" s="11">
        <f>_xlfn.XLOOKUP(questoes!$L13,Tabela2[LETRA],Tabela2[IND],"",0)</f>
        <v>2</v>
      </c>
      <c r="N13" s="11">
        <v>2</v>
      </c>
      <c r="O13" s="10" t="s">
        <v>329</v>
      </c>
      <c r="P13" s="10" t="s">
        <v>330</v>
      </c>
      <c r="Q13" s="12">
        <v>12</v>
      </c>
    </row>
    <row r="14" spans="1:18" ht="210.75" customHeight="1" x14ac:dyDescent="0.25">
      <c r="A14" s="7" t="s">
        <v>98</v>
      </c>
      <c r="B14" s="7" t="s">
        <v>14</v>
      </c>
      <c r="C14" s="7" t="s">
        <v>15</v>
      </c>
      <c r="D14" s="7" t="s">
        <v>76</v>
      </c>
      <c r="E14" s="7" t="s">
        <v>17</v>
      </c>
      <c r="F14" s="7" t="s">
        <v>99</v>
      </c>
      <c r="G14" s="7" t="s">
        <v>94</v>
      </c>
      <c r="H14" s="7" t="s">
        <v>96</v>
      </c>
      <c r="I14" s="7" t="s">
        <v>93</v>
      </c>
      <c r="J14" s="7" t="s">
        <v>100</v>
      </c>
      <c r="K14" s="7" t="s">
        <v>101</v>
      </c>
      <c r="L14" s="8" t="s">
        <v>7</v>
      </c>
      <c r="M14" s="8">
        <f>_xlfn.XLOOKUP(questoes!$L14,Tabela2[LETRA],Tabela2[IND],"",0)</f>
        <v>3</v>
      </c>
      <c r="N14" s="8">
        <v>3</v>
      </c>
      <c r="O14" s="7" t="s">
        <v>378</v>
      </c>
      <c r="P14" s="7" t="s">
        <v>330</v>
      </c>
      <c r="Q14" s="9">
        <v>12</v>
      </c>
    </row>
    <row r="15" spans="1:18" ht="210.75" customHeight="1" x14ac:dyDescent="0.25">
      <c r="A15" s="10" t="s">
        <v>102</v>
      </c>
      <c r="B15" s="10" t="s">
        <v>14</v>
      </c>
      <c r="C15" s="10" t="s">
        <v>15</v>
      </c>
      <c r="D15" s="10" t="s">
        <v>76</v>
      </c>
      <c r="E15" s="10" t="s">
        <v>33</v>
      </c>
      <c r="F15" s="10" t="s">
        <v>103</v>
      </c>
      <c r="G15" s="10" t="s">
        <v>104</v>
      </c>
      <c r="H15" s="10" t="s">
        <v>93</v>
      </c>
      <c r="I15" s="10" t="s">
        <v>96</v>
      </c>
      <c r="J15" s="10" t="s">
        <v>105</v>
      </c>
      <c r="K15" s="10" t="s">
        <v>101</v>
      </c>
      <c r="L15" s="11" t="s">
        <v>5</v>
      </c>
      <c r="M15" s="11">
        <f>_xlfn.XLOOKUP(questoes!$L15,Tabela2[LETRA],Tabela2[IND],"",0)</f>
        <v>1</v>
      </c>
      <c r="N15" s="11">
        <v>1</v>
      </c>
      <c r="O15" s="10" t="s">
        <v>323</v>
      </c>
      <c r="P15" s="10"/>
      <c r="Q15" s="12" t="s">
        <v>83</v>
      </c>
    </row>
    <row r="16" spans="1:18" ht="210.75" customHeight="1" x14ac:dyDescent="0.25">
      <c r="A16" s="7" t="s">
        <v>106</v>
      </c>
      <c r="B16" s="7" t="s">
        <v>14</v>
      </c>
      <c r="C16" s="7" t="s">
        <v>15</v>
      </c>
      <c r="D16" s="7" t="s">
        <v>76</v>
      </c>
      <c r="E16" s="7" t="s">
        <v>33</v>
      </c>
      <c r="F16" s="7" t="s">
        <v>107</v>
      </c>
      <c r="G16" s="7" t="s">
        <v>104</v>
      </c>
      <c r="H16" s="7" t="s">
        <v>96</v>
      </c>
      <c r="I16" s="7" t="s">
        <v>94</v>
      </c>
      <c r="J16" s="7" t="s">
        <v>108</v>
      </c>
      <c r="K16" s="7" t="s">
        <v>109</v>
      </c>
      <c r="L16" s="8" t="s">
        <v>6</v>
      </c>
      <c r="M16" s="8">
        <f>_xlfn.XLOOKUP(questoes!$L16,Tabela2[LETRA],Tabela2[IND],"",0)</f>
        <v>2</v>
      </c>
      <c r="N16" s="8">
        <v>2</v>
      </c>
      <c r="O16" s="7" t="s">
        <v>337</v>
      </c>
      <c r="P16" s="7" t="s">
        <v>336</v>
      </c>
      <c r="Q16" s="9" t="s">
        <v>83</v>
      </c>
    </row>
    <row r="17" spans="1:17" ht="210.75" customHeight="1" x14ac:dyDescent="0.25">
      <c r="A17" s="10" t="s">
        <v>110</v>
      </c>
      <c r="B17" s="10" t="s">
        <v>14</v>
      </c>
      <c r="C17" s="10" t="s">
        <v>15</v>
      </c>
      <c r="D17" s="10" t="s">
        <v>76</v>
      </c>
      <c r="E17" s="10" t="s">
        <v>17</v>
      </c>
      <c r="F17" s="10" t="s">
        <v>111</v>
      </c>
      <c r="G17" s="10" t="s">
        <v>112</v>
      </c>
      <c r="H17" s="10" t="s">
        <v>113</v>
      </c>
      <c r="I17" s="10" t="s">
        <v>114</v>
      </c>
      <c r="J17" s="10" t="s">
        <v>115</v>
      </c>
      <c r="K17" s="10" t="s">
        <v>116</v>
      </c>
      <c r="L17" s="11" t="s">
        <v>6</v>
      </c>
      <c r="M17" s="11">
        <f>_xlfn.XLOOKUP(questoes!$L17,Tabela2[LETRA],Tabela2[IND],"",0)</f>
        <v>2</v>
      </c>
      <c r="N17" s="11">
        <v>2</v>
      </c>
      <c r="O17" s="10" t="s">
        <v>338</v>
      </c>
      <c r="P17" s="10" t="s">
        <v>336</v>
      </c>
      <c r="Q17" s="12" t="s">
        <v>83</v>
      </c>
    </row>
    <row r="18" spans="1:17" ht="210.75" customHeight="1" x14ac:dyDescent="0.25">
      <c r="A18" s="7" t="s">
        <v>117</v>
      </c>
      <c r="B18" s="7" t="s">
        <v>14</v>
      </c>
      <c r="C18" s="7" t="s">
        <v>15</v>
      </c>
      <c r="D18" s="7" t="s">
        <v>118</v>
      </c>
      <c r="E18" s="7" t="s">
        <v>33</v>
      </c>
      <c r="F18" s="7" t="s">
        <v>119</v>
      </c>
      <c r="G18" s="7" t="s">
        <v>120</v>
      </c>
      <c r="H18" s="7" t="s">
        <v>121</v>
      </c>
      <c r="I18" s="7" t="s">
        <v>122</v>
      </c>
      <c r="J18" s="7" t="s">
        <v>123</v>
      </c>
      <c r="K18" s="7" t="s">
        <v>124</v>
      </c>
      <c r="L18" s="8" t="s">
        <v>5</v>
      </c>
      <c r="M18" s="8">
        <f>_xlfn.XLOOKUP(questoes!$L18,Tabela2[LETRA],Tabela2[IND],"",0)</f>
        <v>1</v>
      </c>
      <c r="N18" s="8">
        <v>1</v>
      </c>
      <c r="O18" s="7" t="s">
        <v>339</v>
      </c>
      <c r="P18" s="7" t="s">
        <v>340</v>
      </c>
      <c r="Q18" s="9" t="s">
        <v>125</v>
      </c>
    </row>
    <row r="19" spans="1:17" ht="210.75" customHeight="1" x14ac:dyDescent="0.25">
      <c r="A19" s="10" t="s">
        <v>126</v>
      </c>
      <c r="B19" s="10" t="s">
        <v>14</v>
      </c>
      <c r="C19" s="10" t="s">
        <v>15</v>
      </c>
      <c r="D19" s="10" t="s">
        <v>118</v>
      </c>
      <c r="E19" s="10" t="s">
        <v>127</v>
      </c>
      <c r="F19" s="10" t="s">
        <v>128</v>
      </c>
      <c r="G19" s="10" t="s">
        <v>129</v>
      </c>
      <c r="H19" s="10" t="s">
        <v>130</v>
      </c>
      <c r="I19" s="10" t="s">
        <v>131</v>
      </c>
      <c r="J19" s="10" t="s">
        <v>132</v>
      </c>
      <c r="K19" s="10" t="s">
        <v>133</v>
      </c>
      <c r="L19" s="11" t="s">
        <v>6</v>
      </c>
      <c r="M19" s="11">
        <f>_xlfn.XLOOKUP(questoes!$L19,Tabela2[LETRA],Tabela2[IND],"",0)</f>
        <v>2</v>
      </c>
      <c r="N19" s="11">
        <v>2</v>
      </c>
      <c r="O19" s="10" t="s">
        <v>341</v>
      </c>
      <c r="P19" s="10" t="s">
        <v>340</v>
      </c>
      <c r="Q19" s="12" t="s">
        <v>125</v>
      </c>
    </row>
    <row r="20" spans="1:17" ht="210.75" customHeight="1" x14ac:dyDescent="0.25">
      <c r="A20" s="7" t="s">
        <v>134</v>
      </c>
      <c r="B20" s="7" t="s">
        <v>14</v>
      </c>
      <c r="C20" s="7" t="s">
        <v>15</v>
      </c>
      <c r="D20" s="7" t="s">
        <v>118</v>
      </c>
      <c r="E20" s="7" t="s">
        <v>17</v>
      </c>
      <c r="F20" s="7" t="s">
        <v>135</v>
      </c>
      <c r="G20" s="7" t="s">
        <v>131</v>
      </c>
      <c r="H20" s="7" t="s">
        <v>130</v>
      </c>
      <c r="I20" s="7" t="s">
        <v>129</v>
      </c>
      <c r="J20" s="7" t="s">
        <v>136</v>
      </c>
      <c r="K20" s="7" t="s">
        <v>133</v>
      </c>
      <c r="L20" s="8" t="s">
        <v>5</v>
      </c>
      <c r="M20" s="8">
        <f>_xlfn.XLOOKUP(questoes!$L20,Tabela2[LETRA],Tabela2[IND],"",0)</f>
        <v>1</v>
      </c>
      <c r="N20" s="8">
        <v>1</v>
      </c>
      <c r="O20" s="7" t="s">
        <v>342</v>
      </c>
      <c r="P20" s="7" t="s">
        <v>340</v>
      </c>
      <c r="Q20" s="9" t="s">
        <v>125</v>
      </c>
    </row>
    <row r="21" spans="1:17" ht="210.75" customHeight="1" x14ac:dyDescent="0.25">
      <c r="A21" s="10" t="s">
        <v>137</v>
      </c>
      <c r="B21" s="10" t="s">
        <v>14</v>
      </c>
      <c r="C21" s="10" t="s">
        <v>15</v>
      </c>
      <c r="D21" s="10" t="s">
        <v>118</v>
      </c>
      <c r="E21" s="10" t="s">
        <v>33</v>
      </c>
      <c r="F21" s="10" t="s">
        <v>138</v>
      </c>
      <c r="G21" s="10" t="s">
        <v>131</v>
      </c>
      <c r="H21" s="10" t="s">
        <v>130</v>
      </c>
      <c r="I21" s="10" t="s">
        <v>139</v>
      </c>
      <c r="J21" s="10" t="s">
        <v>129</v>
      </c>
      <c r="K21" s="10" t="s">
        <v>132</v>
      </c>
      <c r="L21" s="11" t="s">
        <v>7</v>
      </c>
      <c r="M21" s="11">
        <f>_xlfn.XLOOKUP(questoes!$L21,Tabela2[LETRA],Tabela2[IND],"",0)</f>
        <v>3</v>
      </c>
      <c r="N21" s="11">
        <v>3</v>
      </c>
      <c r="O21" s="10" t="s">
        <v>343</v>
      </c>
      <c r="P21" s="10" t="s">
        <v>340</v>
      </c>
      <c r="Q21" s="12" t="s">
        <v>125</v>
      </c>
    </row>
    <row r="22" spans="1:17" ht="210.75" customHeight="1" x14ac:dyDescent="0.25">
      <c r="A22" s="7" t="s">
        <v>140</v>
      </c>
      <c r="B22" s="7" t="s">
        <v>14</v>
      </c>
      <c r="C22" s="7" t="s">
        <v>15</v>
      </c>
      <c r="D22" s="7" t="s">
        <v>141</v>
      </c>
      <c r="E22" s="7" t="s">
        <v>17</v>
      </c>
      <c r="F22" s="7" t="s">
        <v>142</v>
      </c>
      <c r="G22" s="7" t="s">
        <v>143</v>
      </c>
      <c r="H22" s="7" t="s">
        <v>122</v>
      </c>
      <c r="I22" s="7" t="s">
        <v>144</v>
      </c>
      <c r="J22" s="7" t="s">
        <v>145</v>
      </c>
      <c r="K22" s="7" t="s">
        <v>146</v>
      </c>
      <c r="L22" s="8" t="s">
        <v>5</v>
      </c>
      <c r="M22" s="8">
        <f>_xlfn.XLOOKUP(questoes!$L22,Tabela2[LETRA],Tabela2[IND],"",0)</f>
        <v>1</v>
      </c>
      <c r="N22" s="8">
        <v>1</v>
      </c>
      <c r="O22" s="7" t="s">
        <v>344</v>
      </c>
      <c r="P22" s="7" t="s">
        <v>345</v>
      </c>
      <c r="Q22" s="9" t="s">
        <v>147</v>
      </c>
    </row>
    <row r="23" spans="1:17" ht="210.75" customHeight="1" x14ac:dyDescent="0.25">
      <c r="A23" s="10" t="s">
        <v>148</v>
      </c>
      <c r="B23" s="10" t="s">
        <v>14</v>
      </c>
      <c r="C23" s="10" t="s">
        <v>15</v>
      </c>
      <c r="D23" s="10" t="s">
        <v>141</v>
      </c>
      <c r="E23" s="10" t="s">
        <v>33</v>
      </c>
      <c r="F23" s="10" t="s">
        <v>149</v>
      </c>
      <c r="G23" s="10" t="s">
        <v>150</v>
      </c>
      <c r="H23" s="10" t="s">
        <v>151</v>
      </c>
      <c r="I23" s="10" t="s">
        <v>152</v>
      </c>
      <c r="J23" s="10" t="s">
        <v>153</v>
      </c>
      <c r="K23" s="10" t="s">
        <v>154</v>
      </c>
      <c r="L23" s="11" t="s">
        <v>5</v>
      </c>
      <c r="M23" s="11">
        <f>_xlfn.XLOOKUP(questoes!$L23,Tabela2[LETRA],Tabela2[IND],"",0)</f>
        <v>1</v>
      </c>
      <c r="N23" s="11">
        <v>1</v>
      </c>
      <c r="O23" s="10" t="s">
        <v>347</v>
      </c>
      <c r="P23" s="10" t="s">
        <v>346</v>
      </c>
      <c r="Q23" s="12" t="s">
        <v>147</v>
      </c>
    </row>
    <row r="24" spans="1:17" ht="210.75" customHeight="1" x14ac:dyDescent="0.25">
      <c r="A24" s="7" t="s">
        <v>155</v>
      </c>
      <c r="B24" s="7" t="s">
        <v>14</v>
      </c>
      <c r="C24" s="7" t="s">
        <v>15</v>
      </c>
      <c r="D24" s="7" t="s">
        <v>141</v>
      </c>
      <c r="E24" s="7" t="s">
        <v>33</v>
      </c>
      <c r="F24" s="7" t="s">
        <v>156</v>
      </c>
      <c r="G24" s="7" t="s">
        <v>157</v>
      </c>
      <c r="H24" s="7" t="s">
        <v>158</v>
      </c>
      <c r="I24" s="7" t="s">
        <v>159</v>
      </c>
      <c r="J24" s="7" t="s">
        <v>160</v>
      </c>
      <c r="K24" s="7" t="s">
        <v>161</v>
      </c>
      <c r="L24" s="8" t="s">
        <v>5</v>
      </c>
      <c r="M24" s="8">
        <f>_xlfn.XLOOKUP(questoes!$L24,Tabela2[LETRA],Tabela2[IND],"",0)</f>
        <v>1</v>
      </c>
      <c r="N24" s="8">
        <v>1</v>
      </c>
      <c r="O24" s="7" t="s">
        <v>348</v>
      </c>
      <c r="P24" s="7" t="s">
        <v>345</v>
      </c>
      <c r="Q24" s="9" t="s">
        <v>147</v>
      </c>
    </row>
    <row r="25" spans="1:17" ht="210.75" customHeight="1" x14ac:dyDescent="0.25">
      <c r="A25" s="10" t="s">
        <v>162</v>
      </c>
      <c r="B25" s="10" t="s">
        <v>14</v>
      </c>
      <c r="C25" s="10" t="s">
        <v>15</v>
      </c>
      <c r="D25" s="10" t="s">
        <v>141</v>
      </c>
      <c r="E25" s="10" t="s">
        <v>127</v>
      </c>
      <c r="F25" s="10" t="s">
        <v>163</v>
      </c>
      <c r="G25" s="10" t="s">
        <v>164</v>
      </c>
      <c r="H25" s="10" t="s">
        <v>165</v>
      </c>
      <c r="I25" s="10" t="s">
        <v>166</v>
      </c>
      <c r="J25" s="10" t="s">
        <v>167</v>
      </c>
      <c r="K25" s="10" t="s">
        <v>168</v>
      </c>
      <c r="L25" s="11" t="s">
        <v>5</v>
      </c>
      <c r="M25" s="11">
        <f>_xlfn.XLOOKUP(questoes!$L25,Tabela2[LETRA],Tabela2[IND],"",0)</f>
        <v>1</v>
      </c>
      <c r="N25" s="11">
        <v>1</v>
      </c>
      <c r="O25" s="10" t="s">
        <v>349</v>
      </c>
      <c r="P25" s="10" t="s">
        <v>345</v>
      </c>
      <c r="Q25" s="12" t="s">
        <v>147</v>
      </c>
    </row>
    <row r="26" spans="1:17" ht="210.75" customHeight="1" x14ac:dyDescent="0.25">
      <c r="A26" s="7" t="s">
        <v>169</v>
      </c>
      <c r="B26" s="7" t="s">
        <v>14</v>
      </c>
      <c r="C26" s="7" t="s">
        <v>15</v>
      </c>
      <c r="D26" s="7" t="s">
        <v>170</v>
      </c>
      <c r="E26" s="7" t="s">
        <v>33</v>
      </c>
      <c r="F26" s="7" t="s">
        <v>171</v>
      </c>
      <c r="G26" s="7" t="s">
        <v>172</v>
      </c>
      <c r="H26" s="7" t="s">
        <v>173</v>
      </c>
      <c r="I26" s="7" t="s">
        <v>174</v>
      </c>
      <c r="J26" s="7" t="s">
        <v>175</v>
      </c>
      <c r="K26" s="7" t="s">
        <v>176</v>
      </c>
      <c r="L26" s="8" t="s">
        <v>5</v>
      </c>
      <c r="M26" s="8">
        <f>_xlfn.XLOOKUP(questoes!$L26,Tabela2[LETRA],Tabela2[IND],"",0)</f>
        <v>1</v>
      </c>
      <c r="N26" s="8">
        <v>1</v>
      </c>
      <c r="O26" s="7" t="s">
        <v>351</v>
      </c>
      <c r="P26" s="7" t="s">
        <v>350</v>
      </c>
      <c r="Q26" s="9" t="s">
        <v>177</v>
      </c>
    </row>
    <row r="27" spans="1:17" ht="210.75" customHeight="1" x14ac:dyDescent="0.25">
      <c r="A27" s="10" t="s">
        <v>178</v>
      </c>
      <c r="B27" s="10" t="s">
        <v>14</v>
      </c>
      <c r="C27" s="10" t="s">
        <v>15</v>
      </c>
      <c r="D27" s="10" t="s">
        <v>170</v>
      </c>
      <c r="E27" s="10" t="s">
        <v>127</v>
      </c>
      <c r="F27" s="10" t="s">
        <v>179</v>
      </c>
      <c r="G27" s="10" t="s">
        <v>180</v>
      </c>
      <c r="H27" s="10" t="s">
        <v>181</v>
      </c>
      <c r="I27" s="10" t="s">
        <v>182</v>
      </c>
      <c r="J27" s="10" t="s">
        <v>183</v>
      </c>
      <c r="K27" s="10" t="s">
        <v>184</v>
      </c>
      <c r="L27" s="11" t="s">
        <v>6</v>
      </c>
      <c r="M27" s="11">
        <f>_xlfn.XLOOKUP(questoes!$L27,Tabela2[LETRA],Tabela2[IND],"",0)</f>
        <v>2</v>
      </c>
      <c r="N27" s="11">
        <v>2</v>
      </c>
      <c r="O27" s="10" t="s">
        <v>352</v>
      </c>
      <c r="P27" s="10" t="s">
        <v>350</v>
      </c>
      <c r="Q27" s="12" t="s">
        <v>177</v>
      </c>
    </row>
    <row r="28" spans="1:17" ht="210.75" customHeight="1" x14ac:dyDescent="0.25">
      <c r="A28" s="7" t="s">
        <v>185</v>
      </c>
      <c r="B28" s="7" t="s">
        <v>14</v>
      </c>
      <c r="C28" s="7" t="s">
        <v>15</v>
      </c>
      <c r="D28" s="7" t="s">
        <v>170</v>
      </c>
      <c r="E28" s="7" t="s">
        <v>33</v>
      </c>
      <c r="F28" s="7" t="s">
        <v>186</v>
      </c>
      <c r="G28" s="7" t="s">
        <v>187</v>
      </c>
      <c r="H28" s="7" t="s">
        <v>188</v>
      </c>
      <c r="I28" s="7" t="s">
        <v>189</v>
      </c>
      <c r="J28" s="7" t="s">
        <v>190</v>
      </c>
      <c r="K28" s="7" t="s">
        <v>191</v>
      </c>
      <c r="L28" s="8" t="s">
        <v>5</v>
      </c>
      <c r="M28" s="8">
        <f>_xlfn.XLOOKUP(questoes!$L28,Tabela2[LETRA],Tabela2[IND],"",0)</f>
        <v>1</v>
      </c>
      <c r="N28" s="8">
        <v>1</v>
      </c>
      <c r="O28" s="7" t="s">
        <v>353</v>
      </c>
      <c r="P28" s="7" t="s">
        <v>350</v>
      </c>
      <c r="Q28" s="9" t="s">
        <v>177</v>
      </c>
    </row>
    <row r="29" spans="1:17" ht="210.75" customHeight="1" x14ac:dyDescent="0.25">
      <c r="A29" s="10" t="s">
        <v>192</v>
      </c>
      <c r="B29" s="10" t="s">
        <v>14</v>
      </c>
      <c r="C29" s="10" t="s">
        <v>15</v>
      </c>
      <c r="D29" s="10" t="s">
        <v>170</v>
      </c>
      <c r="E29" s="10" t="s">
        <v>127</v>
      </c>
      <c r="F29" s="10" t="s">
        <v>193</v>
      </c>
      <c r="G29" s="10" t="s">
        <v>194</v>
      </c>
      <c r="H29" s="10" t="s">
        <v>195</v>
      </c>
      <c r="I29" s="10" t="s">
        <v>196</v>
      </c>
      <c r="J29" s="10" t="s">
        <v>197</v>
      </c>
      <c r="K29" s="10" t="s">
        <v>198</v>
      </c>
      <c r="L29" s="11" t="s">
        <v>6</v>
      </c>
      <c r="M29" s="11">
        <f>_xlfn.XLOOKUP(questoes!$L29,Tabela2[LETRA],Tabela2[IND],"",0)</f>
        <v>2</v>
      </c>
      <c r="N29" s="11">
        <v>2</v>
      </c>
      <c r="O29" s="10" t="s">
        <v>354</v>
      </c>
      <c r="P29" s="10" t="s">
        <v>350</v>
      </c>
      <c r="Q29" s="12" t="s">
        <v>177</v>
      </c>
    </row>
    <row r="30" spans="1:17" ht="210.75" customHeight="1" x14ac:dyDescent="0.25">
      <c r="A30" s="7" t="s">
        <v>199</v>
      </c>
      <c r="B30" s="7" t="s">
        <v>14</v>
      </c>
      <c r="C30" s="7" t="s">
        <v>15</v>
      </c>
      <c r="D30" s="7" t="s">
        <v>200</v>
      </c>
      <c r="E30" s="7" t="s">
        <v>33</v>
      </c>
      <c r="F30" s="7" t="s">
        <v>201</v>
      </c>
      <c r="G30" s="7" t="s">
        <v>202</v>
      </c>
      <c r="H30" s="7" t="s">
        <v>203</v>
      </c>
      <c r="I30" s="7" t="s">
        <v>204</v>
      </c>
      <c r="J30" s="7" t="s">
        <v>205</v>
      </c>
      <c r="K30" s="7" t="s">
        <v>206</v>
      </c>
      <c r="L30" s="8" t="s">
        <v>5</v>
      </c>
      <c r="M30" s="8">
        <f>_xlfn.XLOOKUP(questoes!$L30,Tabela2[LETRA],Tabela2[IND],"",0)</f>
        <v>1</v>
      </c>
      <c r="N30" s="8">
        <v>1</v>
      </c>
      <c r="O30" s="7" t="s">
        <v>355</v>
      </c>
      <c r="P30" s="7" t="s">
        <v>356</v>
      </c>
      <c r="Q30" s="9" t="s">
        <v>207</v>
      </c>
    </row>
    <row r="31" spans="1:17" ht="210.75" customHeight="1" x14ac:dyDescent="0.25">
      <c r="A31" s="10" t="s">
        <v>208</v>
      </c>
      <c r="B31" s="10" t="s">
        <v>14</v>
      </c>
      <c r="C31" s="10" t="s">
        <v>15</v>
      </c>
      <c r="D31" s="10" t="s">
        <v>200</v>
      </c>
      <c r="E31" s="10" t="s">
        <v>127</v>
      </c>
      <c r="F31" s="10" t="s">
        <v>209</v>
      </c>
      <c r="G31" s="10" t="s">
        <v>210</v>
      </c>
      <c r="H31" s="10" t="s">
        <v>211</v>
      </c>
      <c r="I31" s="10" t="s">
        <v>212</v>
      </c>
      <c r="J31" s="10" t="s">
        <v>213</v>
      </c>
      <c r="K31" s="10" t="s">
        <v>214</v>
      </c>
      <c r="L31" s="11" t="s">
        <v>5</v>
      </c>
      <c r="M31" s="11">
        <f>_xlfn.XLOOKUP(questoes!$L31,Tabela2[LETRA],Tabela2[IND],"",0)</f>
        <v>1</v>
      </c>
      <c r="N31" s="11">
        <v>1</v>
      </c>
      <c r="O31" s="10" t="s">
        <v>357</v>
      </c>
      <c r="P31" s="10" t="s">
        <v>356</v>
      </c>
      <c r="Q31" s="12" t="s">
        <v>207</v>
      </c>
    </row>
    <row r="32" spans="1:17" ht="210.75" customHeight="1" x14ac:dyDescent="0.25">
      <c r="A32" s="7" t="s">
        <v>215</v>
      </c>
      <c r="B32" s="7" t="s">
        <v>14</v>
      </c>
      <c r="C32" s="7" t="s">
        <v>15</v>
      </c>
      <c r="D32" s="7" t="s">
        <v>200</v>
      </c>
      <c r="E32" s="7" t="s">
        <v>33</v>
      </c>
      <c r="F32" s="7" t="s">
        <v>216</v>
      </c>
      <c r="G32" s="7" t="s">
        <v>217</v>
      </c>
      <c r="H32" s="7" t="s">
        <v>218</v>
      </c>
      <c r="I32" s="7" t="s">
        <v>219</v>
      </c>
      <c r="J32" s="7" t="s">
        <v>220</v>
      </c>
      <c r="K32" s="7" t="s">
        <v>221</v>
      </c>
      <c r="L32" s="8" t="s">
        <v>5</v>
      </c>
      <c r="M32" s="8">
        <f>_xlfn.XLOOKUP(questoes!$L32,Tabela2[LETRA],Tabela2[IND],"",0)</f>
        <v>1</v>
      </c>
      <c r="N32" s="8">
        <v>1</v>
      </c>
      <c r="O32" s="7" t="s">
        <v>358</v>
      </c>
      <c r="P32" s="7" t="s">
        <v>359</v>
      </c>
      <c r="Q32" s="9" t="s">
        <v>207</v>
      </c>
    </row>
    <row r="33" spans="1:17" ht="210.75" customHeight="1" x14ac:dyDescent="0.25">
      <c r="A33" s="10" t="s">
        <v>222</v>
      </c>
      <c r="B33" s="10" t="s">
        <v>14</v>
      </c>
      <c r="C33" s="10" t="s">
        <v>15</v>
      </c>
      <c r="D33" s="10" t="s">
        <v>200</v>
      </c>
      <c r="E33" s="10" t="s">
        <v>33</v>
      </c>
      <c r="F33" s="10" t="s">
        <v>223</v>
      </c>
      <c r="G33" s="10" t="s">
        <v>224</v>
      </c>
      <c r="H33" s="10" t="s">
        <v>217</v>
      </c>
      <c r="I33" s="10" t="s">
        <v>225</v>
      </c>
      <c r="J33" s="10" t="s">
        <v>226</v>
      </c>
      <c r="K33" s="10" t="s">
        <v>227</v>
      </c>
      <c r="L33" s="11" t="s">
        <v>6</v>
      </c>
      <c r="M33" s="11">
        <f>_xlfn.XLOOKUP(questoes!$L33,Tabela2[LETRA],Tabela2[IND],"",0)</f>
        <v>2</v>
      </c>
      <c r="N33" s="11">
        <v>2</v>
      </c>
      <c r="O33" s="10" t="s">
        <v>360</v>
      </c>
      <c r="P33" s="10" t="s">
        <v>359</v>
      </c>
      <c r="Q33" s="12" t="s">
        <v>207</v>
      </c>
    </row>
    <row r="34" spans="1:17" ht="210.75" customHeight="1" x14ac:dyDescent="0.25">
      <c r="A34" s="7" t="s">
        <v>228</v>
      </c>
      <c r="B34" s="7" t="s">
        <v>14</v>
      </c>
      <c r="C34" s="7" t="s">
        <v>15</v>
      </c>
      <c r="D34" s="7" t="s">
        <v>200</v>
      </c>
      <c r="E34" s="7" t="s">
        <v>127</v>
      </c>
      <c r="F34" s="7" t="s">
        <v>229</v>
      </c>
      <c r="G34" s="7" t="s">
        <v>230</v>
      </c>
      <c r="H34" s="7" t="s">
        <v>231</v>
      </c>
      <c r="I34" s="7" t="s">
        <v>232</v>
      </c>
      <c r="J34" s="7" t="s">
        <v>233</v>
      </c>
      <c r="K34" s="7" t="s">
        <v>234</v>
      </c>
      <c r="L34" s="8" t="s">
        <v>5</v>
      </c>
      <c r="M34" s="8">
        <f>_xlfn.XLOOKUP(questoes!$L34,Tabela2[LETRA],Tabela2[IND],"",0)</f>
        <v>1</v>
      </c>
      <c r="N34" s="8">
        <v>1</v>
      </c>
      <c r="O34" s="7" t="s">
        <v>361</v>
      </c>
      <c r="P34" s="7" t="s">
        <v>356</v>
      </c>
      <c r="Q34" s="9" t="s">
        <v>207</v>
      </c>
    </row>
    <row r="35" spans="1:17" ht="210.75" customHeight="1" x14ac:dyDescent="0.25">
      <c r="A35" s="10" t="s">
        <v>235</v>
      </c>
      <c r="B35" s="10" t="s">
        <v>14</v>
      </c>
      <c r="C35" s="10" t="s">
        <v>15</v>
      </c>
      <c r="D35" s="10" t="s">
        <v>200</v>
      </c>
      <c r="E35" s="10" t="s">
        <v>17</v>
      </c>
      <c r="F35" s="10" t="s">
        <v>236</v>
      </c>
      <c r="G35" s="10" t="s">
        <v>237</v>
      </c>
      <c r="H35" s="10" t="s">
        <v>238</v>
      </c>
      <c r="I35" s="10" t="s">
        <v>239</v>
      </c>
      <c r="J35" s="10" t="s">
        <v>240</v>
      </c>
      <c r="K35" s="10" t="s">
        <v>241</v>
      </c>
      <c r="L35" s="11" t="s">
        <v>6</v>
      </c>
      <c r="M35" s="11">
        <f>_xlfn.XLOOKUP(questoes!$L35,Tabela2[LETRA],Tabela2[IND],"",0)</f>
        <v>2</v>
      </c>
      <c r="N35" s="11">
        <v>2</v>
      </c>
      <c r="O35" s="10" t="s">
        <v>362</v>
      </c>
      <c r="P35" s="10" t="s">
        <v>356</v>
      </c>
      <c r="Q35" s="12" t="s">
        <v>207</v>
      </c>
    </row>
    <row r="36" spans="1:17" ht="210.75" customHeight="1" x14ac:dyDescent="0.25">
      <c r="A36" s="7" t="s">
        <v>242</v>
      </c>
      <c r="B36" s="7" t="s">
        <v>14</v>
      </c>
      <c r="C36" s="7" t="s">
        <v>15</v>
      </c>
      <c r="D36" s="7" t="s">
        <v>200</v>
      </c>
      <c r="E36" s="7" t="s">
        <v>17</v>
      </c>
      <c r="F36" s="7" t="s">
        <v>243</v>
      </c>
      <c r="G36" s="7" t="s">
        <v>244</v>
      </c>
      <c r="H36" s="7" t="s">
        <v>245</v>
      </c>
      <c r="I36" s="7" t="s">
        <v>246</v>
      </c>
      <c r="J36" s="7" t="s">
        <v>247</v>
      </c>
      <c r="K36" s="7" t="s">
        <v>248</v>
      </c>
      <c r="L36" s="8" t="s">
        <v>5</v>
      </c>
      <c r="M36" s="8">
        <f>_xlfn.XLOOKUP(questoes!$L36,Tabela2[LETRA],Tabela2[IND],"",0)</f>
        <v>1</v>
      </c>
      <c r="N36" s="8">
        <v>1</v>
      </c>
      <c r="O36" s="7" t="s">
        <v>363</v>
      </c>
      <c r="P36" s="7" t="s">
        <v>356</v>
      </c>
      <c r="Q36" s="9" t="s">
        <v>207</v>
      </c>
    </row>
    <row r="37" spans="1:17" ht="210.75" customHeight="1" x14ac:dyDescent="0.25">
      <c r="A37" s="10" t="s">
        <v>249</v>
      </c>
      <c r="B37" s="10" t="s">
        <v>14</v>
      </c>
      <c r="C37" s="10" t="s">
        <v>15</v>
      </c>
      <c r="D37" s="10" t="s">
        <v>200</v>
      </c>
      <c r="E37" s="10" t="s">
        <v>33</v>
      </c>
      <c r="F37" s="10" t="s">
        <v>250</v>
      </c>
      <c r="G37" s="10" t="s">
        <v>244</v>
      </c>
      <c r="H37" s="10" t="s">
        <v>245</v>
      </c>
      <c r="I37" s="10" t="s">
        <v>246</v>
      </c>
      <c r="J37" s="10" t="s">
        <v>251</v>
      </c>
      <c r="K37" s="10" t="s">
        <v>252</v>
      </c>
      <c r="L37" s="11" t="s">
        <v>6</v>
      </c>
      <c r="M37" s="11">
        <f>_xlfn.XLOOKUP(questoes!$L37,Tabela2[LETRA],Tabela2[IND],"",0)</f>
        <v>2</v>
      </c>
      <c r="N37" s="11">
        <v>2</v>
      </c>
      <c r="O37" s="10" t="s">
        <v>364</v>
      </c>
      <c r="P37" s="10" t="s">
        <v>356</v>
      </c>
      <c r="Q37" s="12" t="s">
        <v>207</v>
      </c>
    </row>
    <row r="38" spans="1:17" ht="210.75" customHeight="1" x14ac:dyDescent="0.25">
      <c r="A38" s="7" t="s">
        <v>253</v>
      </c>
      <c r="B38" s="7" t="s">
        <v>14</v>
      </c>
      <c r="C38" s="7" t="s">
        <v>15</v>
      </c>
      <c r="D38" s="7" t="s">
        <v>16</v>
      </c>
      <c r="E38" s="7" t="s">
        <v>127</v>
      </c>
      <c r="F38" s="7" t="s">
        <v>254</v>
      </c>
      <c r="G38" s="7" t="s">
        <v>255</v>
      </c>
      <c r="H38" s="7" t="s">
        <v>256</v>
      </c>
      <c r="I38" s="7" t="s">
        <v>257</v>
      </c>
      <c r="J38" s="7" t="s">
        <v>258</v>
      </c>
      <c r="K38" s="7" t="s">
        <v>259</v>
      </c>
      <c r="L38" s="8" t="s">
        <v>4</v>
      </c>
      <c r="M38" s="8">
        <f>_xlfn.XLOOKUP(questoes!$L38,Tabela2[LETRA],Tabela2[IND],"",0)</f>
        <v>0</v>
      </c>
      <c r="N38" s="8">
        <v>0</v>
      </c>
      <c r="O38" s="7" t="s">
        <v>365</v>
      </c>
      <c r="P38" s="7" t="s">
        <v>366</v>
      </c>
      <c r="Q38" s="9" t="s">
        <v>24</v>
      </c>
    </row>
    <row r="39" spans="1:17" ht="210.75" customHeight="1" x14ac:dyDescent="0.25">
      <c r="A39" s="10" t="s">
        <v>260</v>
      </c>
      <c r="B39" s="10" t="s">
        <v>14</v>
      </c>
      <c r="C39" s="10" t="s">
        <v>15</v>
      </c>
      <c r="D39" s="10" t="s">
        <v>170</v>
      </c>
      <c r="E39" s="10" t="s">
        <v>33</v>
      </c>
      <c r="F39" s="10" t="s">
        <v>261</v>
      </c>
      <c r="G39" s="10" t="s">
        <v>262</v>
      </c>
      <c r="H39" s="10" t="s">
        <v>263</v>
      </c>
      <c r="I39" s="10" t="s">
        <v>264</v>
      </c>
      <c r="J39" s="10" t="s">
        <v>265</v>
      </c>
      <c r="K39" s="10" t="s">
        <v>266</v>
      </c>
      <c r="L39" s="11" t="s">
        <v>5</v>
      </c>
      <c r="M39" s="11">
        <f>_xlfn.XLOOKUP(questoes!$L39,Tabela2[LETRA],Tabela2[IND],"",0)</f>
        <v>1</v>
      </c>
      <c r="N39" s="11">
        <v>1</v>
      </c>
      <c r="O39" s="10" t="s">
        <v>367</v>
      </c>
      <c r="P39" s="10" t="s">
        <v>350</v>
      </c>
      <c r="Q39" s="12" t="s">
        <v>177</v>
      </c>
    </row>
    <row r="40" spans="1:17" ht="210.75" customHeight="1" x14ac:dyDescent="0.25">
      <c r="A40" s="7" t="s">
        <v>267</v>
      </c>
      <c r="B40" s="7" t="s">
        <v>14</v>
      </c>
      <c r="C40" s="7" t="s">
        <v>15</v>
      </c>
      <c r="D40" s="7" t="s">
        <v>170</v>
      </c>
      <c r="E40" s="7" t="s">
        <v>127</v>
      </c>
      <c r="F40" s="7" t="s">
        <v>268</v>
      </c>
      <c r="G40" s="7" t="s">
        <v>245</v>
      </c>
      <c r="H40" s="7" t="s">
        <v>190</v>
      </c>
      <c r="I40" s="7" t="s">
        <v>269</v>
      </c>
      <c r="J40" s="7" t="s">
        <v>270</v>
      </c>
      <c r="K40" s="7" t="s">
        <v>271</v>
      </c>
      <c r="L40" s="8" t="s">
        <v>6</v>
      </c>
      <c r="M40" s="8">
        <f>_xlfn.XLOOKUP(questoes!$L40,Tabela2[LETRA],Tabela2[IND],"",0)</f>
        <v>2</v>
      </c>
      <c r="N40" s="8">
        <v>2</v>
      </c>
      <c r="O40" s="7" t="s">
        <v>368</v>
      </c>
      <c r="P40" s="7" t="s">
        <v>350</v>
      </c>
      <c r="Q40" s="9" t="s">
        <v>177</v>
      </c>
    </row>
    <row r="41" spans="1:17" ht="210.75" customHeight="1" x14ac:dyDescent="0.25">
      <c r="A41" s="10" t="s">
        <v>272</v>
      </c>
      <c r="B41" s="10" t="s">
        <v>14</v>
      </c>
      <c r="C41" s="10" t="s">
        <v>15</v>
      </c>
      <c r="D41" s="10" t="s">
        <v>170</v>
      </c>
      <c r="E41" s="10" t="s">
        <v>33</v>
      </c>
      <c r="F41" s="10" t="s">
        <v>273</v>
      </c>
      <c r="G41" s="10" t="s">
        <v>274</v>
      </c>
      <c r="H41" s="10" t="s">
        <v>275</v>
      </c>
      <c r="I41" s="10" t="s">
        <v>276</v>
      </c>
      <c r="J41" s="10" t="s">
        <v>277</v>
      </c>
      <c r="K41" s="10" t="s">
        <v>252</v>
      </c>
      <c r="L41" s="11" t="s">
        <v>4</v>
      </c>
      <c r="M41" s="11">
        <f>_xlfn.XLOOKUP(questoes!$L41,Tabela2[LETRA],Tabela2[IND],"",0)</f>
        <v>0</v>
      </c>
      <c r="N41" s="11">
        <v>0</v>
      </c>
      <c r="O41" s="10" t="s">
        <v>369</v>
      </c>
      <c r="P41" s="10" t="s">
        <v>350</v>
      </c>
      <c r="Q41" s="12" t="s">
        <v>177</v>
      </c>
    </row>
    <row r="42" spans="1:17" ht="210.75" customHeight="1" x14ac:dyDescent="0.25">
      <c r="A42" s="7" t="s">
        <v>278</v>
      </c>
      <c r="B42" s="7" t="s">
        <v>14</v>
      </c>
      <c r="C42" s="7" t="s">
        <v>15</v>
      </c>
      <c r="D42" s="7" t="s">
        <v>170</v>
      </c>
      <c r="E42" s="7" t="s">
        <v>127</v>
      </c>
      <c r="F42" s="7" t="s">
        <v>279</v>
      </c>
      <c r="G42" s="7" t="s">
        <v>280</v>
      </c>
      <c r="H42" s="7" t="s">
        <v>281</v>
      </c>
      <c r="I42" s="7" t="s">
        <v>274</v>
      </c>
      <c r="J42" s="7" t="s">
        <v>282</v>
      </c>
      <c r="K42" s="7" t="s">
        <v>283</v>
      </c>
      <c r="L42" s="8" t="s">
        <v>5</v>
      </c>
      <c r="M42" s="8">
        <f>_xlfn.XLOOKUP(questoes!$L42,Tabela2[LETRA],Tabela2[IND],"",0)</f>
        <v>1</v>
      </c>
      <c r="N42" s="8">
        <v>1</v>
      </c>
      <c r="O42" s="7" t="s">
        <v>370</v>
      </c>
      <c r="P42" s="7" t="s">
        <v>350</v>
      </c>
      <c r="Q42" s="9" t="s">
        <v>177</v>
      </c>
    </row>
    <row r="43" spans="1:17" ht="210.75" customHeight="1" x14ac:dyDescent="0.25">
      <c r="A43" s="10" t="s">
        <v>284</v>
      </c>
      <c r="B43" s="10" t="s">
        <v>14</v>
      </c>
      <c r="C43" s="10" t="s">
        <v>15</v>
      </c>
      <c r="D43" s="10" t="s">
        <v>170</v>
      </c>
      <c r="E43" s="10" t="s">
        <v>17</v>
      </c>
      <c r="F43" s="10" t="s">
        <v>285</v>
      </c>
      <c r="G43" s="10" t="s">
        <v>274</v>
      </c>
      <c r="H43" s="10" t="s">
        <v>269</v>
      </c>
      <c r="I43" s="10" t="s">
        <v>280</v>
      </c>
      <c r="J43" s="10" t="s">
        <v>281</v>
      </c>
      <c r="K43" s="10" t="s">
        <v>286</v>
      </c>
      <c r="L43" s="11" t="s">
        <v>6</v>
      </c>
      <c r="M43" s="11">
        <f>_xlfn.XLOOKUP(questoes!$L43,Tabela2[LETRA],Tabela2[IND],"",0)</f>
        <v>2</v>
      </c>
      <c r="N43" s="11">
        <v>2</v>
      </c>
      <c r="O43" s="10" t="s">
        <v>371</v>
      </c>
      <c r="P43" s="10" t="s">
        <v>350</v>
      </c>
      <c r="Q43" s="12" t="s">
        <v>177</v>
      </c>
    </row>
    <row r="44" spans="1:17" ht="210.75" customHeight="1" x14ac:dyDescent="0.25">
      <c r="A44" s="7" t="s">
        <v>287</v>
      </c>
      <c r="B44" s="7" t="s">
        <v>14</v>
      </c>
      <c r="C44" s="7" t="s">
        <v>15</v>
      </c>
      <c r="D44" s="7" t="s">
        <v>170</v>
      </c>
      <c r="E44" s="7" t="s">
        <v>33</v>
      </c>
      <c r="F44" s="7" t="s">
        <v>288</v>
      </c>
      <c r="G44" s="7" t="s">
        <v>289</v>
      </c>
      <c r="H44" s="7" t="s">
        <v>290</v>
      </c>
      <c r="I44" s="7" t="s">
        <v>291</v>
      </c>
      <c r="J44" s="7" t="s">
        <v>248</v>
      </c>
      <c r="K44" s="7" t="s">
        <v>292</v>
      </c>
      <c r="L44" s="8" t="s">
        <v>4</v>
      </c>
      <c r="M44" s="8">
        <f>_xlfn.XLOOKUP(questoes!$L44,Tabela2[LETRA],Tabela2[IND],"",0)</f>
        <v>0</v>
      </c>
      <c r="N44" s="8">
        <v>0</v>
      </c>
      <c r="O44" s="7" t="s">
        <v>372</v>
      </c>
      <c r="P44" s="7" t="s">
        <v>350</v>
      </c>
      <c r="Q44" s="9" t="s">
        <v>177</v>
      </c>
    </row>
    <row r="45" spans="1:17" ht="210.75" customHeight="1" x14ac:dyDescent="0.25">
      <c r="A45" s="10" t="s">
        <v>293</v>
      </c>
      <c r="B45" s="10" t="s">
        <v>14</v>
      </c>
      <c r="C45" s="10" t="s">
        <v>15</v>
      </c>
      <c r="D45" s="10" t="s">
        <v>294</v>
      </c>
      <c r="E45" s="10" t="s">
        <v>127</v>
      </c>
      <c r="F45" s="10" t="s">
        <v>295</v>
      </c>
      <c r="G45" s="10" t="s">
        <v>190</v>
      </c>
      <c r="H45" s="10" t="s">
        <v>296</v>
      </c>
      <c r="I45" s="10" t="s">
        <v>217</v>
      </c>
      <c r="J45" s="10" t="s">
        <v>297</v>
      </c>
      <c r="K45" s="10" t="s">
        <v>298</v>
      </c>
      <c r="L45" s="11" t="s">
        <v>5</v>
      </c>
      <c r="M45" s="11">
        <f>_xlfn.XLOOKUP(questoes!$L45,Tabela2[LETRA],Tabela2[IND],"",0)</f>
        <v>1</v>
      </c>
      <c r="N45" s="11">
        <v>1</v>
      </c>
      <c r="O45" s="10" t="s">
        <v>373</v>
      </c>
      <c r="P45" s="10" t="s">
        <v>376</v>
      </c>
      <c r="Q45" s="12" t="s">
        <v>299</v>
      </c>
    </row>
    <row r="46" spans="1:17" ht="210.75" customHeight="1" x14ac:dyDescent="0.25">
      <c r="A46" s="7" t="s">
        <v>300</v>
      </c>
      <c r="B46" s="7" t="s">
        <v>14</v>
      </c>
      <c r="C46" s="7" t="s">
        <v>15</v>
      </c>
      <c r="D46" s="7" t="s">
        <v>294</v>
      </c>
      <c r="E46" s="7" t="s">
        <v>127</v>
      </c>
      <c r="F46" s="7" t="s">
        <v>301</v>
      </c>
      <c r="G46" s="7" t="s">
        <v>302</v>
      </c>
      <c r="H46" s="7" t="s">
        <v>303</v>
      </c>
      <c r="I46" s="7" t="s">
        <v>304</v>
      </c>
      <c r="J46" s="7" t="s">
        <v>305</v>
      </c>
      <c r="K46" s="7" t="s">
        <v>306</v>
      </c>
      <c r="L46" s="8" t="s">
        <v>6</v>
      </c>
      <c r="M46" s="8">
        <f>_xlfn.XLOOKUP(questoes!$L46,Tabela2[LETRA],Tabela2[IND],"",0)</f>
        <v>2</v>
      </c>
      <c r="N46" s="8">
        <v>2</v>
      </c>
      <c r="O46" s="7" t="s">
        <v>374</v>
      </c>
      <c r="P46" s="7" t="s">
        <v>376</v>
      </c>
      <c r="Q46" s="9" t="s">
        <v>299</v>
      </c>
    </row>
    <row r="47" spans="1:17" ht="210.75" customHeight="1" x14ac:dyDescent="0.25">
      <c r="A47" s="13" t="s">
        <v>307</v>
      </c>
      <c r="B47" s="13" t="s">
        <v>14</v>
      </c>
      <c r="C47" s="13" t="s">
        <v>15</v>
      </c>
      <c r="D47" s="13" t="s">
        <v>16</v>
      </c>
      <c r="E47" s="13" t="s">
        <v>33</v>
      </c>
      <c r="F47" s="13" t="s">
        <v>308</v>
      </c>
      <c r="G47" s="13" t="s">
        <v>309</v>
      </c>
      <c r="H47" s="13" t="s">
        <v>310</v>
      </c>
      <c r="I47" s="13" t="s">
        <v>311</v>
      </c>
      <c r="J47" s="13" t="s">
        <v>312</v>
      </c>
      <c r="K47" s="13" t="s">
        <v>313</v>
      </c>
      <c r="L47" s="14" t="s">
        <v>5</v>
      </c>
      <c r="M47" s="14">
        <f>_xlfn.XLOOKUP(questoes!$L47,Tabela2[LETRA],Tabela2[IND],"",0)</f>
        <v>1</v>
      </c>
      <c r="N47" s="14">
        <v>1</v>
      </c>
      <c r="O47" s="13" t="s">
        <v>375</v>
      </c>
      <c r="P47" s="13" t="s">
        <v>377</v>
      </c>
      <c r="Q47" s="15" t="s">
        <v>24</v>
      </c>
    </row>
    <row r="48" spans="1:17" ht="210.75" customHeight="1" x14ac:dyDescent="0.25">
      <c r="A48" s="7" t="s">
        <v>385</v>
      </c>
      <c r="B48" s="7" t="s">
        <v>14</v>
      </c>
      <c r="C48" s="7" t="s">
        <v>384</v>
      </c>
      <c r="D48" s="7" t="s">
        <v>118</v>
      </c>
      <c r="E48" s="7" t="s">
        <v>127</v>
      </c>
      <c r="F48" s="7" t="s">
        <v>135</v>
      </c>
      <c r="G48" s="7" t="s">
        <v>131</v>
      </c>
      <c r="H48" s="7" t="s">
        <v>130</v>
      </c>
      <c r="I48" s="7" t="s">
        <v>129</v>
      </c>
      <c r="J48" s="7" t="s">
        <v>136</v>
      </c>
      <c r="K48" s="7" t="s">
        <v>133</v>
      </c>
      <c r="L48" s="8" t="s">
        <v>5</v>
      </c>
      <c r="M48" s="8">
        <f>_xlfn.XLOOKUP(questoes!$L48,Tabela2[LETRA],Tabela2[IND],"",0)</f>
        <v>1</v>
      </c>
      <c r="N48" s="8">
        <v>1</v>
      </c>
      <c r="O48" s="7" t="s">
        <v>387</v>
      </c>
      <c r="P48" s="7" t="s">
        <v>386</v>
      </c>
      <c r="Q48" s="9" t="s">
        <v>125</v>
      </c>
    </row>
  </sheetData>
  <pageMargins left="0.75" right="0.75" top="1" bottom="1" header="0.5" footer="0.5"/>
  <pageSetup paperSize="9" orientation="portrait" r:id="rId1"/>
  <ignoredErrors>
    <ignoredError sqref="M2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3D0F-B1AE-469D-B112-54D879AEA48C}">
  <dimension ref="A1:B6"/>
  <sheetViews>
    <sheetView workbookViewId="0">
      <selection activeCell="D11" sqref="D11"/>
    </sheetView>
  </sheetViews>
  <sheetFormatPr defaultRowHeight="15" x14ac:dyDescent="0.25"/>
  <cols>
    <col min="1" max="2" width="10.28515625" customWidth="1"/>
  </cols>
  <sheetData>
    <row r="1" spans="1:2" x14ac:dyDescent="0.25">
      <c r="A1" s="1" t="s">
        <v>314</v>
      </c>
      <c r="B1" s="2" t="s">
        <v>315</v>
      </c>
    </row>
    <row r="2" spans="1:2" x14ac:dyDescent="0.25">
      <c r="A2" s="1" t="s">
        <v>4</v>
      </c>
      <c r="B2" s="2">
        <v>0</v>
      </c>
    </row>
    <row r="3" spans="1:2" x14ac:dyDescent="0.25">
      <c r="A3" s="1" t="s">
        <v>5</v>
      </c>
      <c r="B3" s="2">
        <v>1</v>
      </c>
    </row>
    <row r="4" spans="1:2" x14ac:dyDescent="0.25">
      <c r="A4" s="1" t="s">
        <v>6</v>
      </c>
      <c r="B4" s="2">
        <v>2</v>
      </c>
    </row>
    <row r="5" spans="1:2" x14ac:dyDescent="0.25">
      <c r="A5" s="1" t="s">
        <v>7</v>
      </c>
      <c r="B5" s="2">
        <v>3</v>
      </c>
    </row>
    <row r="6" spans="1:2" x14ac:dyDescent="0.25">
      <c r="A6" s="1" t="s">
        <v>8</v>
      </c>
      <c r="B6" s="2">
        <v>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questoes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Reginaldo Vantini</cp:lastModifiedBy>
  <dcterms:created xsi:type="dcterms:W3CDTF">2026-05-10T20:52:39Z</dcterms:created>
  <dcterms:modified xsi:type="dcterms:W3CDTF">2026-05-19T15:02:50Z</dcterms:modified>
</cp:coreProperties>
</file>